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00" firstSheet="5" activeTab="4" autoFilterDateGrouping="1"/>
  </bookViews>
  <sheets>
    <sheet xmlns:r="http://schemas.openxmlformats.org/officeDocument/2006/relationships" name="Season 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2019-20" sheetId="3" state="visible" r:id="rId3"/>
    <sheet xmlns:r="http://schemas.openxmlformats.org/officeDocument/2006/relationships" name="2020-21" sheetId="4" state="visible" r:id="rId4"/>
    <sheet xmlns:r="http://schemas.openxmlformats.org/officeDocument/2006/relationships" name="2021-22" sheetId="5" state="visible" r:id="rId5"/>
    <sheet xmlns:r="http://schemas.openxmlformats.org/officeDocument/2006/relationships" name="2022-23" sheetId="6" state="visible" r:id="rId6"/>
    <sheet xmlns:r="http://schemas.openxmlformats.org/officeDocument/2006/relationships" name="2023-24" sheetId="7" state="visible" r:id="rId7"/>
    <sheet xmlns:r="http://schemas.openxmlformats.org/officeDocument/2006/relationships" name="2024-25" sheetId="8" state="visible" r:id="rId8"/>
    <sheet xmlns:r="http://schemas.openxmlformats.org/officeDocument/2006/relationships" name="2025-26" sheetId="9" state="visible" r:id="rId9"/>
  </sheets>
  <definedNames>
    <definedName name="_xlnm._FilterDatabase" localSheetId="7" hidden="1">'2024-25'!$A$24:$G$55</definedName>
    <definedName name="_xlnm._FilterDatabase" localSheetId="8" hidden="1">'2025-26'!$A$58:$G$58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charset val="1"/>
      <family val="2"/>
      <color theme="1"/>
      <sz val="11"/>
    </font>
    <font>
      <name val="Arial"/>
      <family val="2"/>
      <b val="1"/>
      <color rgb="FF1B3A5C"/>
      <sz val="14"/>
    </font>
    <font>
      <name val="Arial"/>
      <family val="2"/>
      <color rgb="FF666666"/>
      <sz val="11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i val="1"/>
      <color rgb="FFCC6600"/>
      <sz val="10"/>
    </font>
    <font>
      <name val="Arial"/>
      <family val="2"/>
      <b val="1"/>
      <sz val="10"/>
    </font>
    <font>
      <name val="Arial"/>
      <family val="2"/>
      <i val="1"/>
      <color rgb="FF666666"/>
      <sz val="9"/>
    </font>
    <font>
      <name val="Arial"/>
      <family val="2"/>
      <sz val="11"/>
    </font>
    <font>
      <name val="Arial"/>
      <family val="2"/>
      <b val="1"/>
      <color rgb="FF1B3A5C"/>
      <sz val="11"/>
    </font>
    <font>
      <name val="Arial"/>
      <family val="2"/>
      <b val="1"/>
      <color rgb="FFCC6600"/>
      <sz val="10"/>
    </font>
    <font>
      <name val="Arial"/>
      <family val="2"/>
      <b val="1"/>
      <color rgb="FF1B3A5C"/>
      <sz val="13"/>
    </font>
    <font>
      <name val="Arial"/>
      <family val="2"/>
      <i val="1"/>
      <color rgb="FF999999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4A7FB5"/>
      <sz val="10"/>
    </font>
    <font>
      <name val="Arial"/>
      <family val="2"/>
      <color rgb="FFFF0000"/>
      <sz val="10"/>
    </font>
    <font>
      <name val="Arial"/>
      <family val="2"/>
      <b val="1"/>
      <color rgb="FF7030A0"/>
      <sz val="10"/>
    </font>
    <font>
      <name val="Arial"/>
      <color rgb="FF999999"/>
      <sz val="10"/>
    </font>
    <font>
      <name val="Arial"/>
      <color theme="1"/>
      <sz val="10"/>
    </font>
    <font>
      <name val="Arial"/>
      <family val="2"/>
      <color theme="1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999999"/>
      <sz val="10"/>
    </font>
    <font>
      <name val="Arial"/>
      <family val="2"/>
      <color rgb="FF000000"/>
      <sz val="10"/>
    </font>
    <font>
      <name val="Arial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E0B2"/>
        <bgColor rgb="FFFFF2CC"/>
      </patternFill>
    </fill>
    <fill>
      <patternFill patternType="solid">
        <fgColor rgb="FFFFF2CC"/>
        <bgColor rgb="FFFFE0B2"/>
      </patternFill>
    </fill>
    <fill>
      <patternFill patternType="solid">
        <fgColor rgb="FFE8E8E8"/>
        <bgColor rgb="FFD6E4F0"/>
      </patternFill>
    </fill>
    <fill>
      <patternFill patternType="solid">
        <fgColor rgb="FFD6E4F0"/>
        <bgColor rgb="FFE8E8E8"/>
      </patternFill>
    </fill>
    <fill>
      <patternFill patternType="solid">
        <fgColor rgb="FF4A7FB5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5" borderId="1" pivotButton="0" quotePrefix="0" xfId="0"/>
    <xf numFmtId="0" fontId="4" fillId="5" borderId="1" pivotButton="0" quotePrefix="0" xfId="0"/>
    <xf numFmtId="0" fontId="13" fillId="7" borderId="1" applyAlignment="1" pivotButton="0" quotePrefix="0" xfId="0">
      <alignment horizontal="center" wrapText="1"/>
    </xf>
    <xf numFmtId="0" fontId="12" fillId="4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21" fillId="7" borderId="1" applyAlignment="1" pivotButton="0" quotePrefix="0" xfId="0">
      <alignment horizontal="center" wrapText="1"/>
    </xf>
    <xf numFmtId="0" fontId="22" fillId="0" borderId="1" pivotButton="0" quotePrefix="0" xfId="0"/>
    <xf numFmtId="0" fontId="0" fillId="8" borderId="0" pivotButton="0" quotePrefix="0" xfId="0"/>
    <xf numFmtId="0" fontId="18" fillId="8" borderId="1" pivotButton="0" quotePrefix="0" xfId="0"/>
    <xf numFmtId="0" fontId="23" fillId="8" borderId="1" pivotButton="0" quotePrefix="0" xfId="0"/>
    <xf numFmtId="0" fontId="17" fillId="8" borderId="1" pivotButton="0" quotePrefix="0" xfId="0"/>
    <xf numFmtId="0" fontId="19" fillId="8" borderId="1" pivotButton="0" quotePrefix="0" xfId="0"/>
    <xf numFmtId="0" fontId="22" fillId="9" borderId="1" pivotButton="0" quotePrefix="0" xfId="0"/>
    <xf numFmtId="0" fontId="19" fillId="4" borderId="1" pivotButton="0" quotePrefix="0" xfId="0"/>
    <xf numFmtId="16" fontId="19" fillId="4" borderId="1" pivotButton="0" quotePrefix="0" xfId="0"/>
    <xf numFmtId="0" fontId="18" fillId="4" borderId="1" applyAlignment="1" pivotButton="0" quotePrefix="0" xfId="0">
      <alignment wrapText="1"/>
    </xf>
    <xf numFmtId="0" fontId="24" fillId="4" borderId="1" pivotButton="0" quotePrefix="0" xfId="0"/>
    <xf numFmtId="0" fontId="25" fillId="4" borderId="1" pivotButton="0" quotePrefix="0" xfId="0"/>
    <xf numFmtId="0" fontId="19" fillId="4" borderId="1" applyAlignment="1" pivotButton="0" quotePrefix="0" xfId="0">
      <alignment wrapText="1"/>
    </xf>
    <xf numFmtId="0" fontId="12" fillId="4" borderId="1" applyAlignment="1" pivotButton="0" quotePrefix="0" xfId="0">
      <alignment wrapText="1"/>
    </xf>
    <xf numFmtId="0" fontId="24" fillId="4" borderId="1" applyAlignment="1" pivotButton="0" quotePrefix="0" xfId="0">
      <alignment wrapText="1"/>
    </xf>
    <xf numFmtId="15" fontId="24" fillId="4" borderId="1" pivotButton="0" quotePrefix="0" xfId="0"/>
    <xf numFmtId="0" fontId="19" fillId="4" borderId="1" applyAlignment="1" pivotButton="0" quotePrefix="0" xfId="0">
      <alignment horizontal="center"/>
    </xf>
    <xf numFmtId="16" fontId="19" fillId="4" borderId="1" applyAlignment="1" pivotButton="0" quotePrefix="0" xfId="0">
      <alignment horizontal="center"/>
    </xf>
    <xf numFmtId="0" fontId="23" fillId="4" borderId="1" pivotButton="0" quotePrefix="0" xfId="0"/>
    <xf numFmtId="15" fontId="25" fillId="4" borderId="1" pivotButton="0" quotePrefix="0" xfId="0"/>
    <xf numFmtId="0" fontId="18" fillId="4" borderId="1" pivotButton="0" quotePrefix="0" xfId="0"/>
    <xf numFmtId="15" fontId="18" fillId="4" borderId="1" pivotButton="0" quotePrefix="0" xfId="0"/>
    <xf numFmtId="0" fontId="23" fillId="0" borderId="1" pivotButton="0" quotePrefix="0" xfId="0"/>
    <xf numFmtId="15" fontId="19" fillId="4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6" fillId="5" borderId="2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6" borderId="2" pivotButton="0" quotePrefix="0" xfId="0"/>
    <xf numFmtId="0" fontId="6" fillId="6" borderId="3" pivotButton="0" quotePrefix="0" xfId="0"/>
    <xf numFmtId="0" fontId="20" fillId="6" borderId="2" pivotButton="0" quotePrefix="0" xfId="0"/>
    <xf numFmtId="0" fontId="0" fillId="0" borderId="3" pivotButton="0" quotePrefix="0" xfId="0"/>
    <xf numFmtId="165" fontId="24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C6600"/>
      <rgbColor rgb="FF800080"/>
      <rgbColor rgb="FF008080"/>
      <rgbColor rgb="FFB0B0B0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4A7FB5"/>
      <rgbColor rgb="FF33CCCC"/>
      <rgbColor rgb="FF99CC00"/>
      <rgbColor rgb="FFFFCC00"/>
      <rgbColor rgb="FFFF9800"/>
      <rgbColor rgb="FFFF6600"/>
      <rgbColor rgb="FF666666"/>
      <rgbColor rgb="FF999999"/>
      <rgbColor rgb="FF1B3A5C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A5C"/>
    <outlinePr summaryBelow="1" summaryRight="1"/>
    <pageSetUpPr/>
  </sheetPr>
  <dimension ref="A1:I16"/>
  <sheetViews>
    <sheetView zoomScaleNormal="100" workbookViewId="0">
      <selection activeCell="A1" sqref="A1:I1"/>
    </sheetView>
  </sheetViews>
  <sheetFormatPr baseColWidth="8" defaultColWidth="8.7109375" defaultRowHeight="14.45"/>
  <cols>
    <col width="12" customWidth="1" min="1" max="1"/>
    <col width="22" customWidth="1" min="2" max="2"/>
    <col width="14" customWidth="1" min="3" max="3"/>
    <col width="27.7109375" bestFit="1" customWidth="1" min="4" max="4"/>
    <col width="16" customWidth="1" min="5" max="6"/>
    <col width="18" customWidth="1" min="7" max="7"/>
    <col width="16" customWidth="1" min="8" max="8"/>
    <col width="40" customWidth="1" min="9" max="9"/>
  </cols>
  <sheetData>
    <row r="1" ht="17.45" customHeight="1">
      <c r="A1" s="38" t="inlineStr">
        <is>
          <t>BAHRAIN TURF CLUB — International Horse Participation Tracker</t>
        </is>
      </c>
    </row>
    <row r="2">
      <c r="A2" s="39" t="inlineStr">
        <is>
          <t>Season-by-Season Overview (2019/20 onwards)</t>
        </is>
      </c>
    </row>
    <row r="4" ht="28.15" customHeight="1">
      <c r="A4" s="1" t="inlineStr">
        <is>
          <t>Season</t>
        </is>
      </c>
      <c r="B4" s="1" t="inlineStr">
        <is>
          <t>Competitions</t>
        </is>
      </c>
      <c r="C4" s="1" t="inlineStr">
        <is>
          <t>Int'l Horses</t>
        </is>
      </c>
      <c r="D4" s="1" t="inlineStr">
        <is>
          <t>Countries</t>
        </is>
      </c>
      <c r="E4" s="1" t="inlineStr">
        <is>
          <t>Int'l Trainers</t>
        </is>
      </c>
      <c r="F4" s="1" t="inlineStr">
        <is>
          <t>Total Int'l Wins</t>
        </is>
      </c>
      <c r="G4" s="1" t="inlineStr">
        <is>
          <t>Individual Winners</t>
        </is>
      </c>
      <c r="H4" s="1" t="inlineStr">
        <is>
          <t>Dual+ Winners</t>
        </is>
      </c>
      <c r="I4" s="1" t="inlineStr">
        <is>
          <t>Notes</t>
        </is>
      </c>
    </row>
    <row r="5">
      <c r="A5" s="2" t="inlineStr">
        <is>
          <t>2019/20</t>
        </is>
      </c>
      <c r="B5" s="2" t="inlineStr">
        <is>
          <t>BIT</t>
        </is>
      </c>
      <c r="C5" s="3" t="n">
        <v>9</v>
      </c>
      <c r="D5" s="3" t="inlineStr">
        <is>
          <t>3 (GB, FR, GER)</t>
        </is>
      </c>
      <c r="E5" s="4" t="n"/>
      <c r="F5" s="4" t="n"/>
      <c r="G5" s="4" t="n"/>
      <c r="H5" s="4" t="n"/>
      <c r="I5" s="5" t="inlineStr">
        <is>
          <t>UNVERIFIED — team must check</t>
        </is>
      </c>
    </row>
    <row r="6">
      <c r="A6" s="2" t="inlineStr">
        <is>
          <t>2020/21</t>
        </is>
      </c>
      <c r="B6" s="2" t="inlineStr">
        <is>
          <t>BIT</t>
        </is>
      </c>
      <c r="C6" s="3" t="n">
        <v>10</v>
      </c>
      <c r="D6" s="3" t="inlineStr">
        <is>
          <t>4 (GB, IRE, JPN, UAE)</t>
        </is>
      </c>
      <c r="E6" s="4" t="n"/>
      <c r="F6" s="4" t="n"/>
      <c r="G6" s="4" t="n"/>
      <c r="H6" s="4" t="n"/>
      <c r="I6" s="5" t="inlineStr">
        <is>
          <t>UNVERIFIED — team must check</t>
        </is>
      </c>
    </row>
    <row r="7">
      <c r="A7" s="2" t="inlineStr">
        <is>
          <t>2021/22</t>
        </is>
      </c>
      <c r="B7" s="2" t="inlineStr">
        <is>
          <t>BIT, BTS, Additional</t>
        </is>
      </c>
      <c r="C7" s="3" t="n">
        <v>28</v>
      </c>
      <c r="D7" s="3" t="inlineStr">
        <is>
          <t>5 (GB, UAE, FR, GER, IRE)</t>
        </is>
      </c>
      <c r="E7" s="4" t="n"/>
      <c r="F7" s="4" t="n"/>
      <c r="G7" s="4" t="n"/>
      <c r="H7" s="4" t="n"/>
      <c r="I7" s="5" t="inlineStr">
        <is>
          <t>UNVERIFIED — team must check</t>
        </is>
      </c>
    </row>
    <row r="8">
      <c r="A8" s="2" t="inlineStr">
        <is>
          <t>2022/23</t>
        </is>
      </c>
      <c r="B8" s="2" t="inlineStr">
        <is>
          <t>BIT, BTS, Additional</t>
        </is>
      </c>
      <c r="C8" s="3" t="n">
        <v>33</v>
      </c>
      <c r="D8" s="3" t="inlineStr">
        <is>
          <t>5 (UAE, FR, NOR, IRE, GB)</t>
        </is>
      </c>
      <c r="E8" s="4" t="n"/>
      <c r="F8" s="4" t="n"/>
      <c r="G8" s="4" t="n"/>
      <c r="H8" s="4" t="n"/>
      <c r="I8" s="5" t="inlineStr">
        <is>
          <t>UNVERIFIED — team must check</t>
        </is>
      </c>
    </row>
    <row r="9">
      <c r="A9" s="2" t="inlineStr">
        <is>
          <t>2023/24</t>
        </is>
      </c>
      <c r="B9" s="2" t="inlineStr">
        <is>
          <t>BIT, BTS, Additional</t>
        </is>
      </c>
      <c r="C9" s="3" t="n">
        <v>39</v>
      </c>
      <c r="D9" s="3" t="inlineStr">
        <is>
          <t>4 (GB, FR, IRE, UAE)</t>
        </is>
      </c>
      <c r="E9" s="4" t="n"/>
      <c r="F9" s="4" t="n"/>
      <c r="G9" s="4" t="n"/>
      <c r="H9" s="4" t="n"/>
      <c r="I9" s="5" t="inlineStr">
        <is>
          <t>UNVERIFIED — team must check</t>
        </is>
      </c>
    </row>
    <row r="10">
      <c r="A10" s="2" t="inlineStr">
        <is>
          <t>2024/25</t>
        </is>
      </c>
      <c r="B10" s="2" t="inlineStr">
        <is>
          <t>BIT, BTS, Additional</t>
        </is>
      </c>
      <c r="C10" s="3" t="n">
        <v>44</v>
      </c>
      <c r="D10" s="3" t="inlineStr">
        <is>
          <t>6 (GB, FR, JPN, UAE, IRE, Qatar)</t>
        </is>
      </c>
      <c r="E10" s="4" t="n"/>
      <c r="F10" s="4" t="n"/>
      <c r="G10" s="4" t="n"/>
      <c r="H10" s="4" t="n"/>
      <c r="I10" s="5" t="inlineStr">
        <is>
          <t>UNVERIFIED — team must check</t>
        </is>
      </c>
    </row>
    <row r="11">
      <c r="A11" s="2" t="inlineStr">
        <is>
          <t>2025/26</t>
        </is>
      </c>
      <c r="B11" s="2" t="inlineStr">
        <is>
          <t>BIT, BTS, Additional</t>
        </is>
      </c>
      <c r="C11" s="2" t="n">
        <v>35</v>
      </c>
      <c r="D11" s="2" t="inlineStr">
        <is>
          <t>4 (GB, IRE, FR, UAE)</t>
        </is>
      </c>
      <c r="E11" s="2" t="n">
        <v>22</v>
      </c>
      <c r="F11" s="2" t="n">
        <v>14</v>
      </c>
      <c r="G11" s="2" t="n">
        <v>12</v>
      </c>
      <c r="H11" s="2" t="n">
        <v>2</v>
      </c>
      <c r="I11" s="2" t="inlineStr">
        <is>
          <t>Phantom Flight &amp; No Retreat dual winners</t>
        </is>
      </c>
    </row>
    <row r="13">
      <c r="A13" s="46" t="inlineStr">
        <is>
          <t>ALL SEASONS</t>
        </is>
      </c>
      <c r="B13" s="53" t="n"/>
      <c r="C13" s="6">
        <f>SUM(C5:C11)</f>
        <v/>
      </c>
      <c r="D13" s="7" t="n"/>
      <c r="E13" s="6">
        <f>SUM(E5:E11)</f>
        <v/>
      </c>
      <c r="F13" s="6">
        <f>SUM(F5:F11)</f>
        <v/>
      </c>
      <c r="G13" s="6">
        <f>SUM(G5:G11)</f>
        <v/>
      </c>
      <c r="H13" s="6">
        <f>SUM(H5:H11)</f>
        <v/>
      </c>
      <c r="I13" s="7" t="n"/>
    </row>
    <row r="15">
      <c r="A15" s="47" t="inlineStr">
        <is>
          <t>Orange = pre-populated but UNVERIFIED (team must verify against racing office archives). Yellow = still to be completed.</t>
        </is>
      </c>
    </row>
    <row r="16">
      <c r="A16" s="47" t="inlineStr">
        <is>
          <t>Dual+ Winners calculated via "Win # for Horse" column. Individual Winners = horses with Win # = 1.</t>
        </is>
      </c>
    </row>
  </sheetData>
  <mergeCells count="5">
    <mergeCell ref="A15:I15"/>
    <mergeCell ref="A2:I2"/>
    <mergeCell ref="A1:I1"/>
    <mergeCell ref="A13:B13"/>
    <mergeCell ref="A16:I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6600"/>
    <outlinePr summaryBelow="1" summaryRight="1"/>
    <pageSetUpPr/>
  </sheetPr>
  <dimension ref="A1:G19"/>
  <sheetViews>
    <sheetView zoomScaleNormal="100" workbookViewId="0">
      <selection activeCell="A1" sqref="A1:G1"/>
    </sheetView>
  </sheetViews>
  <sheetFormatPr baseColWidth="8" defaultColWidth="8.7109375" defaultRowHeight="14.45"/>
  <cols>
    <col width="120" customWidth="1" min="1" max="1"/>
  </cols>
  <sheetData>
    <row r="1" ht="17.25" customHeight="1">
      <c r="A1" s="40" t="inlineStr">
        <is>
          <t>HOW TO USE THIS TRACKER</t>
        </is>
      </c>
    </row>
    <row r="2">
      <c r="A2" s="41" t="n"/>
    </row>
    <row r="3" ht="15" customHeight="1">
      <c r="A3" s="42" t="inlineStr">
        <is>
          <t>This workbook tracks international horse participation at BTC from 2019/20 onwards.</t>
        </is>
      </c>
    </row>
    <row r="4">
      <c r="A4" s="41" t="n"/>
    </row>
    <row r="5" ht="15" customHeight="1">
      <c r="A5" s="43" t="inlineStr">
        <is>
          <t>STRUCTURE PER SEASON:</t>
        </is>
      </c>
    </row>
    <row r="6" ht="15" customHeight="1">
      <c r="A6" s="44" t="inlineStr">
        <is>
          <t>Section 1 — Horses by Competition: Country breakdown of int'l entries per competition.</t>
        </is>
      </c>
    </row>
    <row r="7" ht="15" customHeight="1">
      <c r="A7" s="44" t="inlineStr">
        <is>
          <t>Section 2 — Horse Register: Every int'l horse, with trainer, country, competition, win status.</t>
        </is>
      </c>
    </row>
    <row r="8" ht="15" customHeight="1">
      <c r="A8" s="44" t="inlineStr">
        <is>
          <t>Section 3 — Winners: "Win # for Horse": 1 = first win, 2 = second, etc. Dual winners calculated automatically.</t>
        </is>
      </c>
    </row>
    <row r="9" ht="15" customHeight="1">
      <c r="A9" s="44" t="inlineStr">
        <is>
          <t>Section 4 — Trainers: Listed by competition (BIT, BTS separately where applicable).</t>
        </is>
      </c>
    </row>
    <row r="10" ht="15" customHeight="1">
      <c r="A10" s="44" t="inlineStr">
        <is>
          <t>Section 5 — Additional Races: HH Shaikh Nasser Cup, Crown Prince Cup, King's Cup, etc. (2021/22 onwards only).</t>
        </is>
      </c>
    </row>
    <row r="11">
      <c r="A11" s="41" t="n"/>
    </row>
    <row r="12" ht="15" customHeight="1">
      <c r="A12" s="43" t="inlineStr">
        <is>
          <t>KEY NOTES:</t>
        </is>
      </c>
    </row>
    <row r="13" ht="15" customHeight="1">
      <c r="A13" s="44" t="inlineStr">
        <is>
          <t>2019/20 and 2020/21 = BIT only (BTS not yet established).</t>
        </is>
      </c>
    </row>
    <row r="14" ht="15" customHeight="1">
      <c r="A14" s="44" t="inlineStr">
        <is>
          <t>From 2021/22 onwards all competitions apply.</t>
        </is>
      </c>
    </row>
    <row r="15" ht="15" customHeight="1">
      <c r="A15" s="45" t="inlineStr">
        <is>
          <t>Orange cells = pre-populated data. THIS DATA IS NOT VERIFIED. Team must check against archives and racing office records.</t>
        </is>
      </c>
    </row>
    <row r="16" ht="15" customHeight="1">
      <c r="A16" s="44" t="inlineStr">
        <is>
          <t>Yellow cells = data still to be completed from scratch.</t>
        </is>
      </c>
    </row>
    <row r="17" ht="15" customHeight="1">
      <c r="A17" s="44" t="inlineStr">
        <is>
          <t>Use "Trainers" not "Teams" — correct horseracing terminology.</t>
        </is>
      </c>
    </row>
    <row r="18">
      <c r="A18" s="41" t="n"/>
    </row>
    <row r="19" ht="15" customHeight="1">
      <c r="A19" s="44" t="inlineStr">
        <is>
          <t>COUNTRY CODES: GB, IRE, FR, UAE, JPN, GER, NOR, Qatar, USA</t>
        </is>
      </c>
    </row>
  </sheetData>
  <mergeCells count="19">
    <mergeCell ref="A14:G14"/>
    <mergeCell ref="A17:G17"/>
    <mergeCell ref="A8:G8"/>
    <mergeCell ref="A4:G4"/>
    <mergeCell ref="A19:G19"/>
    <mergeCell ref="A10:G10"/>
    <mergeCell ref="A13:G13"/>
    <mergeCell ref="A9:G9"/>
    <mergeCell ref="A15:G15"/>
    <mergeCell ref="A11:G11"/>
    <mergeCell ref="A1:G1"/>
    <mergeCell ref="A6:G6"/>
    <mergeCell ref="A16:G16"/>
    <mergeCell ref="A7:G7"/>
    <mergeCell ref="A18:G18"/>
    <mergeCell ref="A3:G3"/>
    <mergeCell ref="A12:G12"/>
    <mergeCell ref="A2:G2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FF9800"/>
    <outlinePr summaryBelow="1" summaryRight="1"/>
    <pageSetUpPr/>
  </sheetPr>
  <dimension ref="A1:G55"/>
  <sheetViews>
    <sheetView topLeftCell="A14" zoomScaleNormal="100" workbookViewId="0">
      <selection activeCell="D16" sqref="D16"/>
    </sheetView>
  </sheetViews>
  <sheetFormatPr baseColWidth="8" defaultColWidth="8.7109375" defaultRowHeight="14.45"/>
  <cols>
    <col width="30" customWidth="1" min="1" max="1"/>
    <col width="22" customWidth="1" min="2" max="2"/>
    <col width="16" customWidth="1" min="3" max="3"/>
    <col width="30" customWidth="1" min="4" max="4"/>
    <col width="14" customWidth="1" min="5" max="5"/>
    <col width="18" customWidth="1" min="6" max="6"/>
    <col width="30" customWidth="1" min="7" max="7"/>
  </cols>
  <sheetData>
    <row r="1" ht="16.9" customHeight="1">
      <c r="A1" s="48" t="inlineStr">
        <is>
          <t>International Participation — 2019/20 Season</t>
        </is>
      </c>
    </row>
    <row r="2">
      <c r="A2" s="49" t="inlineStr">
        <is>
          <t>BIT only (BTS not yet established)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3" t="inlineStr">
        <is>
          <t>BIT</t>
        </is>
      </c>
      <c r="B6" s="3" t="inlineStr">
        <is>
          <t>GB</t>
        </is>
      </c>
      <c r="C6" s="3" t="n">
        <v>6</v>
      </c>
      <c r="D6" s="3" t="n"/>
      <c r="E6" s="3" t="n"/>
      <c r="F6" s="3" t="n"/>
      <c r="G6" s="3" t="n"/>
    </row>
    <row r="7">
      <c r="A7" s="3" t="inlineStr">
        <is>
          <t>BIT</t>
        </is>
      </c>
      <c r="B7" s="3" t="inlineStr">
        <is>
          <t>FR</t>
        </is>
      </c>
      <c r="C7" s="3" t="n">
        <v>2</v>
      </c>
      <c r="D7" s="3" t="n"/>
      <c r="E7" s="3" t="n"/>
      <c r="F7" s="3" t="n"/>
      <c r="G7" s="3" t="n"/>
    </row>
    <row r="8">
      <c r="A8" s="3" t="inlineStr">
        <is>
          <t>BIT</t>
        </is>
      </c>
      <c r="B8" s="3" t="inlineStr">
        <is>
          <t>GER</t>
        </is>
      </c>
      <c r="C8" s="3" t="n">
        <v>1</v>
      </c>
      <c r="D8" s="3" t="n"/>
      <c r="E8" s="3" t="n"/>
      <c r="F8" s="3" t="n"/>
      <c r="G8" s="3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6" t="inlineStr">
        <is>
          <t>TOTAL</t>
        </is>
      </c>
      <c r="B12" s="6" t="n"/>
      <c r="C12" s="6">
        <f>SUM(C6:C11)</f>
        <v/>
      </c>
      <c r="D12" s="6" t="n"/>
      <c r="E12" s="6" t="n"/>
      <c r="F12" s="6" t="n"/>
      <c r="G12" s="6" t="n"/>
    </row>
    <row r="14">
      <c r="A14" s="50" t="inlineStr">
        <is>
          <t>SECTION 2: INTERNATIONAL HORSE REGISTER (list every international horse)</t>
        </is>
      </c>
      <c r="B14" s="53" t="n"/>
      <c r="C14" s="53" t="n"/>
      <c r="D14" s="53" t="n"/>
      <c r="E14" s="53" t="n"/>
      <c r="F14" s="53" t="n"/>
      <c r="G14" s="53" t="n"/>
    </row>
    <row r="15">
      <c r="A15" s="8" t="inlineStr">
        <is>
          <t>Horse Name</t>
        </is>
      </c>
      <c r="B15" s="8" t="inlineStr">
        <is>
          <t>Trainer</t>
        </is>
      </c>
      <c r="C15" s="8" t="inlineStr">
        <is>
          <t>Country</t>
        </is>
      </c>
      <c r="D15" s="8" t="inlineStr">
        <is>
          <t>Competition</t>
        </is>
      </c>
      <c r="E15" s="8" t="inlineStr">
        <is>
          <t>Winner? (Y/N)</t>
        </is>
      </c>
      <c r="F15" s="8" t="inlineStr">
        <is>
          <t>No. of Wins</t>
        </is>
      </c>
      <c r="G15" s="8" t="inlineStr">
        <is>
          <t>Notes</t>
        </is>
      </c>
    </row>
    <row r="16">
      <c r="A16" s="21" t="inlineStr">
        <is>
          <t>Royal Julius (IRE)</t>
        </is>
      </c>
      <c r="B16" s="21" t="inlineStr">
        <is>
          <t>Jerome Reynier</t>
        </is>
      </c>
      <c r="C16" s="21" t="inlineStr">
        <is>
          <t>France</t>
        </is>
      </c>
      <c r="D16" s="21" t="inlineStr">
        <is>
          <t xml:space="preserve">Bahrain International Trophy </t>
        </is>
      </c>
      <c r="E16" s="21" t="inlineStr">
        <is>
          <t>Y</t>
        </is>
      </c>
      <c r="F16" s="21" t="n">
        <v>1</v>
      </c>
      <c r="G16" s="21" t="n"/>
    </row>
    <row r="17">
      <c r="A17" s="21" t="inlineStr">
        <is>
          <t>Turgenev (GB)</t>
        </is>
      </c>
      <c r="B17" s="21" t="inlineStr">
        <is>
          <t xml:space="preserve">John Gosden </t>
        </is>
      </c>
      <c r="C17" s="21" t="inlineStr">
        <is>
          <t>GB</t>
        </is>
      </c>
      <c r="D17" s="21" t="inlineStr">
        <is>
          <t xml:space="preserve">Bahrain International Trophy </t>
        </is>
      </c>
      <c r="E17" s="21" t="inlineStr">
        <is>
          <t>N</t>
        </is>
      </c>
      <c r="F17" s="21" t="n"/>
      <c r="G17" s="21" t="n"/>
    </row>
    <row r="18">
      <c r="A18" s="21" t="inlineStr">
        <is>
          <t>Afaak (GB)</t>
        </is>
      </c>
      <c r="B18" s="21" t="inlineStr">
        <is>
          <t>Charlie Hills</t>
        </is>
      </c>
      <c r="C18" s="21" t="inlineStr">
        <is>
          <t>GB</t>
        </is>
      </c>
      <c r="D18" s="21" t="inlineStr">
        <is>
          <t xml:space="preserve">Bahrain International Trophy </t>
        </is>
      </c>
      <c r="E18" s="21" t="inlineStr">
        <is>
          <t>N</t>
        </is>
      </c>
      <c r="F18" s="21" t="n"/>
      <c r="G18" s="21" t="n"/>
    </row>
    <row r="19">
      <c r="A19" s="21" t="inlineStr">
        <is>
          <t>Intellogent (IRE)</t>
        </is>
      </c>
      <c r="B19" s="21" t="inlineStr">
        <is>
          <t xml:space="preserve">F Chappet </t>
        </is>
      </c>
      <c r="C19" s="21" t="inlineStr">
        <is>
          <t>France</t>
        </is>
      </c>
      <c r="D19" s="21" t="inlineStr">
        <is>
          <t xml:space="preserve">Bahrain International Trophy </t>
        </is>
      </c>
      <c r="E19" s="21" t="inlineStr">
        <is>
          <t>N</t>
        </is>
      </c>
      <c r="F19" s="21" t="n"/>
      <c r="G19" s="21" t="n"/>
    </row>
    <row r="20">
      <c r="A20" s="21" t="inlineStr">
        <is>
          <t>Pivoine (IRE)</t>
        </is>
      </c>
      <c r="B20" s="21" t="inlineStr">
        <is>
          <t xml:space="preserve">Andrew Balding </t>
        </is>
      </c>
      <c r="C20" s="21" t="inlineStr">
        <is>
          <t>GB</t>
        </is>
      </c>
      <c r="D20" s="21" t="inlineStr">
        <is>
          <t xml:space="preserve">Bahrain International Trophy </t>
        </is>
      </c>
      <c r="E20" s="21" t="inlineStr">
        <is>
          <t>N</t>
        </is>
      </c>
      <c r="F20" s="21" t="n"/>
      <c r="G20" s="21" t="n"/>
    </row>
    <row r="21">
      <c r="A21" s="21" t="inlineStr">
        <is>
          <t xml:space="preserve">Coolagh Forest (IRE) </t>
        </is>
      </c>
      <c r="B21" s="21" t="inlineStr">
        <is>
          <t xml:space="preserve">Paul D'Arcy </t>
        </is>
      </c>
      <c r="C21" s="21" t="inlineStr">
        <is>
          <t>GB</t>
        </is>
      </c>
      <c r="D21" s="21" t="inlineStr">
        <is>
          <t xml:space="preserve">Bahrain International Trophy </t>
        </is>
      </c>
      <c r="E21" s="21" t="inlineStr">
        <is>
          <t>N</t>
        </is>
      </c>
      <c r="F21" s="21" t="n"/>
      <c r="G21" s="21" t="n"/>
    </row>
    <row r="22">
      <c r="A22" s="21" t="inlineStr">
        <is>
          <t>Aquarium (GB)</t>
        </is>
      </c>
      <c r="B22" s="21" t="inlineStr">
        <is>
          <t xml:space="preserve">Jane Chapple-Hyam </t>
        </is>
      </c>
      <c r="C22" s="21" t="inlineStr">
        <is>
          <t>GB</t>
        </is>
      </c>
      <c r="D22" s="21" t="inlineStr">
        <is>
          <t xml:space="preserve">Bahrain International Trophy </t>
        </is>
      </c>
      <c r="E22" s="21" t="inlineStr">
        <is>
          <t>N</t>
        </is>
      </c>
      <c r="F22" s="21" t="n"/>
      <c r="G22" s="21" t="n"/>
    </row>
    <row r="23">
      <c r="A23" s="21" t="inlineStr">
        <is>
          <t>Sword Peinture (GER)</t>
        </is>
      </c>
      <c r="B23" s="21" t="inlineStr">
        <is>
          <t xml:space="preserve">Andreas Suborics </t>
        </is>
      </c>
      <c r="C23" s="21" t="inlineStr">
        <is>
          <t>GER</t>
        </is>
      </c>
      <c r="D23" s="21" t="inlineStr">
        <is>
          <t xml:space="preserve">Bahrain International Trophy </t>
        </is>
      </c>
      <c r="E23" s="21" t="inlineStr">
        <is>
          <t>N</t>
        </is>
      </c>
      <c r="F23" s="21" t="n"/>
      <c r="G23" s="21" t="n"/>
    </row>
    <row r="24">
      <c r="A24" s="26" t="inlineStr">
        <is>
          <t>Mountain Angel (IRE)</t>
        </is>
      </c>
      <c r="B24" s="21" t="inlineStr">
        <is>
          <t>Roger Varian</t>
        </is>
      </c>
      <c r="C24" s="21" t="inlineStr">
        <is>
          <t>GB</t>
        </is>
      </c>
      <c r="D24" s="21" t="inlineStr">
        <is>
          <t xml:space="preserve">Bahrain International Trophy </t>
        </is>
      </c>
      <c r="E24" s="21" t="inlineStr">
        <is>
          <t>N</t>
        </is>
      </c>
      <c r="F24" s="21" t="n"/>
      <c r="G24" s="21" t="n"/>
    </row>
    <row r="25">
      <c r="A25" s="21" t="n"/>
      <c r="B25" s="21" t="n"/>
      <c r="C25" s="21" t="n"/>
      <c r="D25" s="21" t="n"/>
      <c r="E25" s="21" t="n"/>
      <c r="F25" s="21" t="n"/>
      <c r="G25" s="21" t="n"/>
    </row>
    <row r="26">
      <c r="A26" s="21" t="n"/>
      <c r="B26" s="21" t="n"/>
      <c r="C26" s="21" t="n"/>
      <c r="D26" s="21" t="n"/>
      <c r="E26" s="21" t="n"/>
      <c r="F26" s="21" t="n"/>
      <c r="G26" s="21" t="n"/>
    </row>
    <row r="27">
      <c r="A27" s="21" t="n"/>
      <c r="B27" s="21" t="n"/>
      <c r="C27" s="21" t="n"/>
      <c r="D27" s="21" t="n"/>
      <c r="E27" s="21" t="n"/>
      <c r="F27" s="21" t="n"/>
      <c r="G27" s="21" t="n"/>
    </row>
    <row r="28">
      <c r="A28" s="21" t="n"/>
      <c r="B28" s="21" t="n"/>
      <c r="C28" s="21" t="n"/>
      <c r="D28" s="21" t="n"/>
      <c r="E28" s="21" t="n"/>
      <c r="F28" s="21" t="n"/>
      <c r="G28" s="21" t="n"/>
    </row>
    <row r="29">
      <c r="A29" s="21" t="n"/>
      <c r="B29" s="21" t="n"/>
      <c r="C29" s="21" t="n"/>
      <c r="D29" s="21" t="n"/>
      <c r="E29" s="21" t="n"/>
      <c r="F29" s="21" t="n"/>
      <c r="G29" s="21" t="n"/>
    </row>
    <row r="30">
      <c r="A30" s="21" t="n"/>
      <c r="B30" s="21" t="n"/>
      <c r="C30" s="21" t="n"/>
      <c r="D30" s="21" t="n"/>
      <c r="E30" s="21" t="n"/>
      <c r="F30" s="21" t="n"/>
      <c r="G30" s="21" t="n"/>
    </row>
    <row r="31">
      <c r="A31" s="6" t="inlineStr">
        <is>
          <t>TOTALS:</t>
        </is>
      </c>
      <c r="B31" s="6" t="n"/>
      <c r="C31" s="6" t="n"/>
      <c r="D31" s="6" t="n"/>
      <c r="E31" s="6">
        <f>COUNTIF(E16:E30,"Y")</f>
        <v/>
      </c>
      <c r="F31" s="6">
        <f>SUM(F16:F30)</f>
        <v/>
      </c>
      <c r="G31" s="6" t="n"/>
    </row>
    <row r="33">
      <c r="A33" s="50" t="inlineStr">
        <is>
          <t>SECTION 3: INTERNATIONAL WINNERS</t>
        </is>
      </c>
      <c r="B33" s="53" t="n"/>
      <c r="C33" s="53" t="n"/>
      <c r="D33" s="53" t="n"/>
      <c r="E33" s="53" t="n"/>
      <c r="F33" s="53" t="n"/>
      <c r="G33" s="53" t="n"/>
    </row>
    <row r="34">
      <c r="A34" s="8" t="inlineStr">
        <is>
          <t>Horse</t>
        </is>
      </c>
      <c r="B34" s="8" t="inlineStr">
        <is>
          <t>Trainer</t>
        </is>
      </c>
      <c r="C34" s="8" t="inlineStr">
        <is>
          <t>Country</t>
        </is>
      </c>
      <c r="D34" s="8" t="inlineStr">
        <is>
          <t>Race</t>
        </is>
      </c>
      <c r="E34" s="8" t="inlineStr">
        <is>
          <t>Date</t>
        </is>
      </c>
      <c r="F34" s="8" t="inlineStr">
        <is>
          <t>Win # for Horse</t>
        </is>
      </c>
      <c r="G34" s="8" t="inlineStr">
        <is>
          <t>Notes</t>
        </is>
      </c>
    </row>
    <row r="35">
      <c r="A35" s="21" t="inlineStr">
        <is>
          <t xml:space="preserve">Royal Julius </t>
        </is>
      </c>
      <c r="B35" s="21" t="inlineStr">
        <is>
          <t>Jerome Reynier</t>
        </is>
      </c>
      <c r="C35" s="21" t="inlineStr">
        <is>
          <t>France</t>
        </is>
      </c>
      <c r="D35" s="21" t="inlineStr">
        <is>
          <t xml:space="preserve">Bahrain International Trophy </t>
        </is>
      </c>
      <c r="E35" s="37" t="n">
        <v>43791</v>
      </c>
      <c r="F35" s="21" t="inlineStr">
        <is>
          <t>1st</t>
        </is>
      </c>
      <c r="G35" s="21" t="n"/>
    </row>
    <row r="37">
      <c r="A37" s="46" t="inlineStr">
        <is>
          <t>Total International Wins:</t>
        </is>
      </c>
      <c r="B37" s="53" t="n"/>
      <c r="C37" s="6">
        <f>COUNTA(A35:A35)</f>
        <v/>
      </c>
      <c r="D37" s="7" t="n"/>
      <c r="E37" s="7" t="n"/>
      <c r="F37" s="7" t="n"/>
      <c r="G37" s="7" t="n"/>
    </row>
    <row r="38">
      <c r="A38" s="46" t="inlineStr">
        <is>
          <t>Individual Winning Horses:</t>
        </is>
      </c>
      <c r="B38" s="53" t="n"/>
      <c r="C38" s="6">
        <f>COUNTIF(F35:F35,1)</f>
        <v/>
      </c>
      <c r="D38" s="7" t="n"/>
      <c r="E38" s="7" t="n"/>
      <c r="F38" s="7" t="n"/>
      <c r="G38" s="7" t="n"/>
    </row>
    <row r="39">
      <c r="A39" s="46" t="inlineStr">
        <is>
          <t>Dual+ Winners:</t>
        </is>
      </c>
      <c r="B39" s="53" t="n"/>
      <c r="C39" s="6">
        <f>C37-C38</f>
        <v/>
      </c>
      <c r="D39" s="7" t="n"/>
      <c r="E39" s="7" t="n"/>
      <c r="F39" s="7" t="n"/>
      <c r="G39" s="7" t="n"/>
    </row>
    <row r="41">
      <c r="A41" s="50" t="inlineStr">
        <is>
          <t>SECTION 4: INTERNATIONAL TRAINERS</t>
        </is>
      </c>
      <c r="B41" s="53" t="n"/>
      <c r="C41" s="53" t="n"/>
      <c r="D41" s="53" t="n"/>
      <c r="E41" s="53" t="n"/>
      <c r="F41" s="53" t="n"/>
      <c r="G41" s="53" t="n"/>
    </row>
    <row r="42">
      <c r="A42" s="10" t="inlineStr">
        <is>
          <t>Bahrain International Trophy</t>
        </is>
      </c>
    </row>
    <row r="43">
      <c r="A43" s="8" t="inlineStr">
        <is>
          <t>Trainer</t>
        </is>
      </c>
      <c r="B43" s="8" t="inlineStr">
        <is>
          <t>Country</t>
        </is>
      </c>
      <c r="C43" s="8" t="inlineStr">
        <is>
          <t>Notes</t>
        </is>
      </c>
      <c r="D43" s="8" t="n"/>
      <c r="E43" s="8" t="n"/>
      <c r="F43" s="8" t="n"/>
      <c r="G43" s="8" t="n"/>
    </row>
    <row r="44">
      <c r="A44" s="21" t="inlineStr">
        <is>
          <t>Jerome Reynier</t>
        </is>
      </c>
      <c r="B44" s="21" t="inlineStr">
        <is>
          <t>France</t>
        </is>
      </c>
      <c r="C44" s="21" t="n"/>
    </row>
    <row r="45">
      <c r="A45" s="21" t="inlineStr">
        <is>
          <t xml:space="preserve">John Gosden </t>
        </is>
      </c>
      <c r="B45" s="21" t="inlineStr">
        <is>
          <t>GB</t>
        </is>
      </c>
      <c r="C45" s="21" t="n"/>
    </row>
    <row r="46">
      <c r="A46" s="21" t="inlineStr">
        <is>
          <t>Charlie Hills</t>
        </is>
      </c>
      <c r="B46" s="21" t="inlineStr">
        <is>
          <t>GB</t>
        </is>
      </c>
      <c r="C46" s="21" t="n"/>
    </row>
    <row r="47">
      <c r="A47" s="21" t="inlineStr">
        <is>
          <t xml:space="preserve">F Chappet </t>
        </is>
      </c>
      <c r="B47" s="21" t="inlineStr">
        <is>
          <t>France</t>
        </is>
      </c>
      <c r="C47" s="21" t="n"/>
    </row>
    <row r="48">
      <c r="A48" s="21" t="inlineStr">
        <is>
          <t xml:space="preserve">Andrew Balding </t>
        </is>
      </c>
      <c r="B48" s="21" t="inlineStr">
        <is>
          <t>GB</t>
        </is>
      </c>
      <c r="C48" s="21" t="n"/>
    </row>
    <row r="49">
      <c r="A49" s="21" t="inlineStr">
        <is>
          <t xml:space="preserve">Paul D'Arcy </t>
        </is>
      </c>
      <c r="B49" s="21" t="inlineStr">
        <is>
          <t>GB</t>
        </is>
      </c>
      <c r="C49" s="21" t="n"/>
    </row>
    <row r="50">
      <c r="A50" s="21" t="inlineStr">
        <is>
          <t xml:space="preserve">Jane Chapple-Hyam </t>
        </is>
      </c>
      <c r="B50" s="21" t="inlineStr">
        <is>
          <t>GB</t>
        </is>
      </c>
      <c r="C50" s="21" t="n"/>
    </row>
    <row r="51">
      <c r="A51" s="21" t="inlineStr">
        <is>
          <t xml:space="preserve">Andreas Suborics </t>
        </is>
      </c>
      <c r="B51" s="21" t="inlineStr">
        <is>
          <t>GER</t>
        </is>
      </c>
      <c r="C51" s="21" t="n"/>
    </row>
    <row r="52">
      <c r="A52" s="21" t="inlineStr">
        <is>
          <t>Roger Varian</t>
        </is>
      </c>
      <c r="B52" s="21" t="inlineStr">
        <is>
          <t>GB</t>
        </is>
      </c>
      <c r="C52" s="21" t="n"/>
    </row>
    <row r="53">
      <c r="A53" s="21" t="n"/>
      <c r="B53" s="21" t="n"/>
      <c r="C53" s="21" t="n"/>
    </row>
    <row r="55">
      <c r="A55" s="6" t="inlineStr">
        <is>
          <t>Total International Trainers:</t>
        </is>
      </c>
      <c r="B55" s="6" t="n">
        <v>9</v>
      </c>
      <c r="C55" s="6" t="n"/>
      <c r="D55" s="6" t="n"/>
      <c r="E55" s="6" t="n"/>
      <c r="F55" s="6" t="n"/>
      <c r="G55" s="6" t="n"/>
    </row>
  </sheetData>
  <mergeCells count="9">
    <mergeCell ref="A14:G14"/>
    <mergeCell ref="A38:B38"/>
    <mergeCell ref="A1:G1"/>
    <mergeCell ref="A4:G4"/>
    <mergeCell ref="A37:B37"/>
    <mergeCell ref="A2:G2"/>
    <mergeCell ref="A41:G41"/>
    <mergeCell ref="A33:G33"/>
    <mergeCell ref="A39:B39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9800"/>
    <outlinePr summaryBelow="1" summaryRight="1"/>
    <pageSetUpPr/>
  </sheetPr>
  <dimension ref="A1:G65"/>
  <sheetViews>
    <sheetView topLeftCell="A28" zoomScaleNormal="100" workbookViewId="0">
      <selection activeCell="B55" sqref="B55"/>
    </sheetView>
  </sheetViews>
  <sheetFormatPr baseColWidth="8" defaultColWidth="8.7109375" defaultRowHeight="14.45"/>
  <cols>
    <col width="30" customWidth="1" min="1" max="1"/>
    <col width="22" customWidth="1" min="2" max="2"/>
    <col width="16" customWidth="1" min="3" max="3"/>
    <col width="30" customWidth="1" min="4" max="4"/>
    <col width="14" customWidth="1" min="5" max="5"/>
    <col width="18" customWidth="1" min="6" max="6"/>
    <col width="30" customWidth="1" min="7" max="7"/>
  </cols>
  <sheetData>
    <row r="1" ht="16.9" customHeight="1">
      <c r="A1" s="48" t="inlineStr">
        <is>
          <t>International Participation — 2020/21 Season</t>
        </is>
      </c>
    </row>
    <row r="2">
      <c r="A2" s="49" t="inlineStr">
        <is>
          <t>BIT only (BTS not yet established)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3" t="inlineStr">
        <is>
          <t>BIT</t>
        </is>
      </c>
      <c r="B6" s="3" t="inlineStr">
        <is>
          <t>GB</t>
        </is>
      </c>
      <c r="C6" s="3" t="n">
        <v>5</v>
      </c>
      <c r="D6" s="3" t="n"/>
      <c r="E6" s="3" t="n"/>
      <c r="F6" s="3" t="n"/>
      <c r="G6" s="3" t="n"/>
    </row>
    <row r="7">
      <c r="A7" s="3" t="inlineStr">
        <is>
          <t>BIT</t>
        </is>
      </c>
      <c r="B7" s="3" t="inlineStr">
        <is>
          <t>IRE</t>
        </is>
      </c>
      <c r="C7" s="3" t="n">
        <v>2</v>
      </c>
      <c r="D7" s="3" t="n"/>
      <c r="E7" s="3" t="n"/>
      <c r="F7" s="3" t="n"/>
      <c r="G7" s="3" t="n"/>
    </row>
    <row r="8">
      <c r="A8" s="3" t="inlineStr">
        <is>
          <t>BIT</t>
        </is>
      </c>
      <c r="B8" s="3" t="inlineStr">
        <is>
          <t>JPN</t>
        </is>
      </c>
      <c r="C8" s="3" t="n">
        <v>1</v>
      </c>
      <c r="D8" s="3" t="n"/>
      <c r="E8" s="3" t="n"/>
      <c r="F8" s="3" t="n"/>
      <c r="G8" s="3" t="n"/>
    </row>
    <row r="9">
      <c r="A9" s="3" t="inlineStr">
        <is>
          <t>BIT</t>
        </is>
      </c>
      <c r="B9" s="3" t="inlineStr">
        <is>
          <t>UAE</t>
        </is>
      </c>
      <c r="C9" s="3" t="n">
        <v>2</v>
      </c>
      <c r="D9" s="3" t="n"/>
      <c r="E9" s="3" t="n"/>
      <c r="F9" s="3" t="n"/>
      <c r="G9" s="3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6" t="inlineStr">
        <is>
          <t>TOTAL</t>
        </is>
      </c>
      <c r="B13" s="6" t="n"/>
      <c r="C13" s="6">
        <f>SUM(C6:C12)</f>
        <v/>
      </c>
      <c r="D13" s="6" t="n"/>
      <c r="E13" s="6" t="n"/>
      <c r="F13" s="6" t="n"/>
      <c r="G13" s="6" t="n"/>
    </row>
    <row r="15">
      <c r="A15" s="50" t="inlineStr">
        <is>
          <t>SECTION 2: INTERNATIONAL HORSE REGISTER (list every international horse)</t>
        </is>
      </c>
      <c r="B15" s="53" t="n"/>
      <c r="C15" s="53" t="n"/>
      <c r="D15" s="53" t="n"/>
      <c r="E15" s="53" t="n"/>
      <c r="F15" s="53" t="n"/>
      <c r="G15" s="53" t="n"/>
    </row>
    <row r="16">
      <c r="A16" s="8" t="inlineStr">
        <is>
          <t>Horse Name</t>
        </is>
      </c>
      <c r="B16" s="8" t="inlineStr">
        <is>
          <t>Trainer</t>
        </is>
      </c>
      <c r="C16" s="8" t="inlineStr">
        <is>
          <t>Country</t>
        </is>
      </c>
      <c r="D16" s="8" t="inlineStr">
        <is>
          <t>Competition</t>
        </is>
      </c>
      <c r="E16" s="8" t="inlineStr">
        <is>
          <t>Winner? (Y/N)</t>
        </is>
      </c>
      <c r="F16" s="8" t="inlineStr">
        <is>
          <t>No. of Wins</t>
        </is>
      </c>
      <c r="G16" s="8" t="inlineStr">
        <is>
          <t>Notes</t>
        </is>
      </c>
    </row>
    <row r="17">
      <c r="A17" s="24" t="inlineStr">
        <is>
          <t>Global Giant (GB)</t>
        </is>
      </c>
      <c r="B17" s="24" t="inlineStr">
        <is>
          <t>John &amp; Thady Josden</t>
        </is>
      </c>
      <c r="C17" s="24" t="inlineStr">
        <is>
          <t>GB</t>
        </is>
      </c>
      <c r="D17" s="24" t="inlineStr">
        <is>
          <t xml:space="preserve">Bahrain International Trophy </t>
        </is>
      </c>
      <c r="E17" s="24" t="inlineStr">
        <is>
          <t>N</t>
        </is>
      </c>
      <c r="F17" s="9" t="n"/>
      <c r="G17" s="9" t="n"/>
    </row>
    <row r="18">
      <c r="A18" s="24" t="inlineStr">
        <is>
          <t>Sovereign (IRE)</t>
        </is>
      </c>
      <c r="B18" s="24" t="inlineStr">
        <is>
          <t>Aidan O'Brain</t>
        </is>
      </c>
      <c r="C18" s="24" t="inlineStr">
        <is>
          <t>IRE</t>
        </is>
      </c>
      <c r="D18" s="24" t="inlineStr">
        <is>
          <t xml:space="preserve">Bahrain International Trophy </t>
        </is>
      </c>
      <c r="E18" s="24" t="inlineStr">
        <is>
          <t>N</t>
        </is>
      </c>
      <c r="F18" s="9" t="n"/>
      <c r="G18" s="9" t="n"/>
    </row>
    <row r="19">
      <c r="A19" s="24" t="inlineStr">
        <is>
          <t xml:space="preserve">Lord Glitters (FR) </t>
        </is>
      </c>
      <c r="B19" s="24" t="inlineStr">
        <is>
          <t xml:space="preserve">David O'Meara </t>
        </is>
      </c>
      <c r="C19" s="24" t="inlineStr">
        <is>
          <t>GB</t>
        </is>
      </c>
      <c r="D19" s="24" t="inlineStr">
        <is>
          <t xml:space="preserve">Bahrain International Trophy </t>
        </is>
      </c>
      <c r="E19" s="24" t="inlineStr">
        <is>
          <t>N</t>
        </is>
      </c>
      <c r="F19" s="9" t="n"/>
      <c r="G19" s="9" t="n"/>
    </row>
    <row r="20">
      <c r="A20" s="24" t="inlineStr">
        <is>
          <t>Certain Lad (GB)</t>
        </is>
      </c>
      <c r="B20" s="24" t="inlineStr">
        <is>
          <t>Mick Channon</t>
        </is>
      </c>
      <c r="C20" s="24" t="inlineStr">
        <is>
          <t>GB</t>
        </is>
      </c>
      <c r="D20" s="24" t="inlineStr">
        <is>
          <t xml:space="preserve">Bahrain International Trophy </t>
        </is>
      </c>
      <c r="E20" s="24" t="inlineStr">
        <is>
          <t>N</t>
        </is>
      </c>
      <c r="F20" s="9" t="n"/>
      <c r="G20" s="9" t="n"/>
    </row>
    <row r="21">
      <c r="A21" s="24" t="inlineStr">
        <is>
          <t xml:space="preserve">Loxley (IRE) </t>
        </is>
      </c>
      <c r="B21" s="24" t="inlineStr">
        <is>
          <t xml:space="preserve">Charlie Appleby </t>
        </is>
      </c>
      <c r="C21" s="24" t="inlineStr">
        <is>
          <t>UAE</t>
        </is>
      </c>
      <c r="D21" s="24" t="inlineStr">
        <is>
          <t xml:space="preserve">Bahrain International Trophy </t>
        </is>
      </c>
      <c r="E21" s="24" t="inlineStr">
        <is>
          <t>N</t>
        </is>
      </c>
      <c r="F21" s="9" t="n"/>
      <c r="G21" s="9" t="n"/>
    </row>
    <row r="22">
      <c r="A22" s="24" t="inlineStr">
        <is>
          <t>Deirdre (JPN)</t>
        </is>
      </c>
      <c r="B22" s="24" t="inlineStr">
        <is>
          <t xml:space="preserve">Mitsuru Hashida </t>
        </is>
      </c>
      <c r="C22" s="24" t="inlineStr">
        <is>
          <t>JPN</t>
        </is>
      </c>
      <c r="D22" s="24" t="inlineStr">
        <is>
          <t xml:space="preserve">Bahrain International Trophy </t>
        </is>
      </c>
      <c r="E22" s="24" t="inlineStr">
        <is>
          <t>N</t>
        </is>
      </c>
      <c r="F22" s="9" t="n"/>
      <c r="G22" s="9" t="n"/>
    </row>
    <row r="23">
      <c r="A23" s="24" t="inlineStr">
        <is>
          <t>Bangkok (IRE)</t>
        </is>
      </c>
      <c r="B23" s="24" t="inlineStr">
        <is>
          <t xml:space="preserve">Andrew Balding </t>
        </is>
      </c>
      <c r="C23" s="24" t="inlineStr">
        <is>
          <t>GB</t>
        </is>
      </c>
      <c r="D23" s="24" t="inlineStr">
        <is>
          <t xml:space="preserve">Bahrain International Trophy </t>
        </is>
      </c>
      <c r="E23" s="24" t="inlineStr">
        <is>
          <t>N</t>
        </is>
      </c>
      <c r="F23" s="9" t="n"/>
      <c r="G23" s="9" t="n"/>
    </row>
    <row r="24">
      <c r="A24" s="24" t="inlineStr">
        <is>
          <t>Dream Castle (GB)</t>
        </is>
      </c>
      <c r="B24" s="24" t="inlineStr">
        <is>
          <t>Saeed Bin Suroor</t>
        </is>
      </c>
      <c r="C24" s="24" t="inlineStr">
        <is>
          <t>UAE</t>
        </is>
      </c>
      <c r="D24" s="24" t="inlineStr">
        <is>
          <t xml:space="preserve">Bahrain International Trophy </t>
        </is>
      </c>
      <c r="E24" s="24" t="inlineStr">
        <is>
          <t>N</t>
        </is>
      </c>
      <c r="F24" s="9" t="n"/>
      <c r="G24" s="9" t="n"/>
    </row>
    <row r="25">
      <c r="A25" s="24" t="inlineStr">
        <is>
          <t>Desert Encounter (IRE)</t>
        </is>
      </c>
      <c r="B25" s="24" t="inlineStr">
        <is>
          <t>David Simcock</t>
        </is>
      </c>
      <c r="C25" s="24" t="inlineStr">
        <is>
          <t>GB</t>
        </is>
      </c>
      <c r="D25" s="24" t="inlineStr">
        <is>
          <t xml:space="preserve">Bahrain International Trophy </t>
        </is>
      </c>
      <c r="E25" s="24" t="inlineStr">
        <is>
          <t>N</t>
        </is>
      </c>
      <c r="F25" s="9" t="n"/>
      <c r="G25" s="9" t="n"/>
    </row>
    <row r="26">
      <c r="A26" s="24" t="inlineStr">
        <is>
          <t>Lady Wannabe (IRE)</t>
        </is>
      </c>
      <c r="B26" s="24" t="inlineStr">
        <is>
          <t xml:space="preserve">J A Stack </t>
        </is>
      </c>
      <c r="C26" s="24" t="inlineStr">
        <is>
          <t>IRE</t>
        </is>
      </c>
      <c r="D26" s="24" t="inlineStr">
        <is>
          <t xml:space="preserve">Bahrain International Trophy </t>
        </is>
      </c>
      <c r="E26" s="24" t="inlineStr">
        <is>
          <t>N</t>
        </is>
      </c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6" t="inlineStr">
        <is>
          <t>TOTALS:</t>
        </is>
      </c>
      <c r="B32" s="6" t="n"/>
      <c r="C32" s="6" t="n"/>
      <c r="D32" s="6" t="n"/>
      <c r="E32" s="6">
        <f>COUNTIF(E17:E31,"Y")</f>
        <v/>
      </c>
      <c r="F32" s="6">
        <f>SUM(F17:F31)</f>
        <v/>
      </c>
      <c r="G32" s="6" t="n"/>
    </row>
    <row r="34">
      <c r="A34" s="50" t="inlineStr">
        <is>
          <t>SECTION 3: INTERNATIONAL WINNERS</t>
        </is>
      </c>
      <c r="B34" s="53" t="n"/>
      <c r="C34" s="53" t="n"/>
      <c r="D34" s="53" t="n"/>
      <c r="E34" s="53" t="n"/>
      <c r="F34" s="53" t="n"/>
      <c r="G34" s="53" t="n"/>
    </row>
    <row r="35">
      <c r="A35" s="8" t="inlineStr">
        <is>
          <t>Horse</t>
        </is>
      </c>
      <c r="B35" s="8" t="inlineStr">
        <is>
          <t>Trainer</t>
        </is>
      </c>
      <c r="C35" s="8" t="inlineStr">
        <is>
          <t>Country</t>
        </is>
      </c>
      <c r="D35" s="8" t="inlineStr">
        <is>
          <t>Race</t>
        </is>
      </c>
      <c r="E35" s="8" t="inlineStr">
        <is>
          <t>Date</t>
        </is>
      </c>
      <c r="F35" s="8" t="inlineStr">
        <is>
          <t>Win # for Horse</t>
        </is>
      </c>
      <c r="G35" s="8" t="inlineStr">
        <is>
          <t>Notes</t>
        </is>
      </c>
    </row>
    <row r="36">
      <c r="A36" s="24" t="inlineStr">
        <is>
          <t>Simsir (IRE)</t>
        </is>
      </c>
      <c r="B36" s="24" t="inlineStr">
        <is>
          <t>Fawzi Abdulla Nass</t>
        </is>
      </c>
      <c r="C36" s="24" t="inlineStr">
        <is>
          <t>Bahrain</t>
        </is>
      </c>
      <c r="D36" s="24" t="inlineStr">
        <is>
          <t xml:space="preserve">Bahrain International Trophy </t>
        </is>
      </c>
      <c r="E36" s="29" t="n">
        <v>44155</v>
      </c>
      <c r="F36" s="24" t="n">
        <v>1</v>
      </c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7">
      <c r="A47" s="46" t="inlineStr">
        <is>
          <t>Total International Wins:</t>
        </is>
      </c>
      <c r="B47" s="53" t="n"/>
      <c r="C47" s="6">
        <f>COUNTA(A36:A45)</f>
        <v/>
      </c>
      <c r="D47" s="7" t="n"/>
      <c r="E47" s="7" t="n"/>
      <c r="F47" s="7" t="n"/>
      <c r="G47" s="7" t="n"/>
    </row>
    <row r="48">
      <c r="A48" s="46" t="inlineStr">
        <is>
          <t>Individual Winning Horses:</t>
        </is>
      </c>
      <c r="B48" s="53" t="n"/>
      <c r="C48" s="6">
        <f>COUNTIF(F36:F45,1)</f>
        <v/>
      </c>
      <c r="D48" s="7" t="n"/>
      <c r="E48" s="7" t="n"/>
      <c r="F48" s="7" t="n"/>
      <c r="G48" s="7" t="n"/>
    </row>
    <row r="49">
      <c r="A49" s="46" t="inlineStr">
        <is>
          <t>Dual+ Winners:</t>
        </is>
      </c>
      <c r="B49" s="53" t="n"/>
      <c r="C49" s="6">
        <f>C47-C48</f>
        <v/>
      </c>
      <c r="D49" s="7" t="n"/>
      <c r="E49" s="7" t="n"/>
      <c r="F49" s="7" t="n"/>
      <c r="G49" s="7" t="n"/>
    </row>
    <row r="51">
      <c r="A51" s="50" t="inlineStr">
        <is>
          <t>SECTION 4: INTERNATIONAL TRAINERS</t>
        </is>
      </c>
      <c r="B51" s="53" t="n"/>
      <c r="C51" s="53" t="n"/>
      <c r="D51" s="53" t="n"/>
      <c r="E51" s="53" t="n"/>
      <c r="F51" s="53" t="n"/>
      <c r="G51" s="53" t="n"/>
    </row>
    <row r="52">
      <c r="A52" s="10" t="inlineStr">
        <is>
          <t>Bahrain International Trophy</t>
        </is>
      </c>
    </row>
    <row r="53">
      <c r="A53" s="8" t="inlineStr">
        <is>
          <t>Trainer</t>
        </is>
      </c>
      <c r="B53" s="8" t="inlineStr">
        <is>
          <t>Country</t>
        </is>
      </c>
      <c r="C53" s="8" t="inlineStr">
        <is>
          <t>Notes</t>
        </is>
      </c>
      <c r="D53" s="8" t="n"/>
      <c r="E53" s="8" t="n"/>
      <c r="F53" s="8" t="n"/>
      <c r="G53" s="8" t="n"/>
    </row>
    <row r="54">
      <c r="A54" s="24" t="inlineStr">
        <is>
          <t>John &amp; Thady Josden</t>
        </is>
      </c>
      <c r="B54" s="24" t="inlineStr">
        <is>
          <t>GB</t>
        </is>
      </c>
      <c r="C54" s="9" t="n"/>
    </row>
    <row r="55">
      <c r="A55" s="24" t="inlineStr">
        <is>
          <t>Aidan O'Brain</t>
        </is>
      </c>
      <c r="B55" s="24" t="inlineStr">
        <is>
          <t>IRE</t>
        </is>
      </c>
      <c r="C55" s="9" t="n"/>
    </row>
    <row r="56">
      <c r="A56" s="24" t="inlineStr">
        <is>
          <t xml:space="preserve">David O'Meara </t>
        </is>
      </c>
      <c r="B56" s="24" t="inlineStr">
        <is>
          <t>GB</t>
        </is>
      </c>
      <c r="C56" s="9" t="n"/>
    </row>
    <row r="57">
      <c r="A57" s="24" t="inlineStr">
        <is>
          <t>Mick Channon</t>
        </is>
      </c>
      <c r="B57" s="24" t="inlineStr">
        <is>
          <t>GB</t>
        </is>
      </c>
      <c r="C57" s="9" t="n"/>
    </row>
    <row r="58">
      <c r="A58" s="24" t="inlineStr">
        <is>
          <t xml:space="preserve">Charlie Appleby </t>
        </is>
      </c>
      <c r="B58" s="24" t="inlineStr">
        <is>
          <t>UAE</t>
        </is>
      </c>
      <c r="C58" s="9" t="n"/>
    </row>
    <row r="59">
      <c r="A59" s="24" t="inlineStr">
        <is>
          <t xml:space="preserve">Mitsuru Hashida </t>
        </is>
      </c>
      <c r="B59" s="24" t="inlineStr">
        <is>
          <t>JPN</t>
        </is>
      </c>
      <c r="C59" s="9" t="n"/>
    </row>
    <row r="60">
      <c r="A60" s="24" t="inlineStr">
        <is>
          <t xml:space="preserve">Andrew Balding </t>
        </is>
      </c>
      <c r="B60" s="24" t="inlineStr">
        <is>
          <t>GB</t>
        </is>
      </c>
      <c r="C60" s="9" t="n"/>
    </row>
    <row r="61">
      <c r="A61" s="24" t="inlineStr">
        <is>
          <t>Saeed Bin Suroor</t>
        </is>
      </c>
      <c r="B61" s="24" t="inlineStr">
        <is>
          <t>UAE</t>
        </is>
      </c>
      <c r="C61" s="9" t="n"/>
    </row>
    <row r="62">
      <c r="A62" s="24" t="inlineStr">
        <is>
          <t>David Simcock</t>
        </is>
      </c>
      <c r="B62" s="24" t="inlineStr">
        <is>
          <t>GB</t>
        </is>
      </c>
      <c r="C62" s="9" t="n"/>
    </row>
    <row r="63">
      <c r="A63" s="24" t="inlineStr">
        <is>
          <t xml:space="preserve">J A Stack </t>
        </is>
      </c>
      <c r="B63" s="24" t="inlineStr">
        <is>
          <t>IRE</t>
        </is>
      </c>
      <c r="C63" s="9" t="n"/>
    </row>
    <row r="65">
      <c r="A65" s="6" t="inlineStr">
        <is>
          <t>Total International Trainers:</t>
        </is>
      </c>
      <c r="B65" s="6" t="n">
        <v>10</v>
      </c>
      <c r="C65" s="6" t="n"/>
      <c r="D65" s="6" t="n"/>
      <c r="E65" s="6" t="n"/>
      <c r="F65" s="6" t="n"/>
      <c r="G65" s="6" t="n"/>
    </row>
  </sheetData>
  <mergeCells count="9">
    <mergeCell ref="A48:B48"/>
    <mergeCell ref="A1:G1"/>
    <mergeCell ref="A49:B49"/>
    <mergeCell ref="A34:G34"/>
    <mergeCell ref="A47:B47"/>
    <mergeCell ref="A4:G4"/>
    <mergeCell ref="A2:G2"/>
    <mergeCell ref="A15:G15"/>
    <mergeCell ref="A51:G5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F9800"/>
    <outlinePr summaryBelow="1" summaryRight="1"/>
    <pageSetUpPr/>
  </sheetPr>
  <dimension ref="A1:G112"/>
  <sheetViews>
    <sheetView tabSelected="1" topLeftCell="A39" zoomScaleNormal="100" workbookViewId="0">
      <selection activeCell="A1" sqref="A1:G1"/>
    </sheetView>
  </sheetViews>
  <sheetFormatPr baseColWidth="8" defaultColWidth="8.7109375" defaultRowHeight="14.45"/>
  <cols>
    <col width="30" customWidth="1" min="1" max="1"/>
    <col width="22" customWidth="1" min="2" max="2"/>
    <col width="16" customWidth="1" min="3" max="3"/>
    <col width="33.5703125" bestFit="1" customWidth="1" min="4" max="4"/>
    <col width="14" customWidth="1" min="5" max="5"/>
    <col width="18" customWidth="1" min="6" max="6"/>
    <col width="30" customWidth="1" min="7" max="7"/>
  </cols>
  <sheetData>
    <row r="1" ht="16.9" customHeight="1">
      <c r="A1" s="48" t="inlineStr">
        <is>
          <t>International Participation — 2021/22 Season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3" t="inlineStr">
        <is>
          <t>BIT</t>
        </is>
      </c>
      <c r="B6" s="3" t="inlineStr">
        <is>
          <t>GB</t>
        </is>
      </c>
      <c r="C6" s="3" t="n">
        <v>4</v>
      </c>
      <c r="D6" s="3" t="n"/>
      <c r="E6" s="3" t="n"/>
      <c r="F6" s="3" t="n"/>
      <c r="G6" s="3" t="n"/>
    </row>
    <row r="7">
      <c r="A7" s="3" t="inlineStr">
        <is>
          <t>BIT</t>
        </is>
      </c>
      <c r="B7" s="3" t="inlineStr">
        <is>
          <t>UAE</t>
        </is>
      </c>
      <c r="C7" s="3" t="n">
        <v>3</v>
      </c>
      <c r="D7" s="3" t="n"/>
      <c r="E7" s="3" t="n"/>
      <c r="F7" s="3" t="n"/>
      <c r="G7" s="3" t="n"/>
    </row>
    <row r="8">
      <c r="A8" s="3" t="inlineStr">
        <is>
          <t>BIT</t>
        </is>
      </c>
      <c r="B8" s="3" t="inlineStr">
        <is>
          <t>FR</t>
        </is>
      </c>
      <c r="C8" s="3" t="n">
        <v>1</v>
      </c>
      <c r="D8" s="3" t="n"/>
      <c r="E8" s="3" t="n"/>
      <c r="F8" s="3" t="n"/>
      <c r="G8" s="3" t="n"/>
    </row>
    <row r="9">
      <c r="A9" s="3" t="inlineStr">
        <is>
          <t>BIT</t>
        </is>
      </c>
      <c r="B9" s="3" t="inlineStr">
        <is>
          <t>GER</t>
        </is>
      </c>
      <c r="C9" s="3" t="n">
        <v>1</v>
      </c>
      <c r="D9" s="3" t="n"/>
      <c r="E9" s="3" t="n"/>
      <c r="F9" s="3" t="n"/>
      <c r="G9" s="3" t="n"/>
    </row>
    <row r="10">
      <c r="A10" s="3" t="inlineStr">
        <is>
          <t>BIT</t>
        </is>
      </c>
      <c r="B10" s="3" t="inlineStr">
        <is>
          <t>IRE</t>
        </is>
      </c>
      <c r="C10" s="3" t="n">
        <v>1</v>
      </c>
      <c r="D10" s="3" t="n"/>
      <c r="E10" s="3" t="n"/>
      <c r="F10" s="3" t="n"/>
      <c r="G10" s="3" t="n"/>
    </row>
    <row r="11">
      <c r="A11" s="3" t="inlineStr">
        <is>
          <t>BTS</t>
        </is>
      </c>
      <c r="B11" s="3" t="inlineStr">
        <is>
          <t>GB</t>
        </is>
      </c>
      <c r="C11" s="3" t="n">
        <v>13</v>
      </c>
      <c r="D11" s="3" t="n"/>
      <c r="E11" s="3" t="n"/>
      <c r="F11" s="3" t="n"/>
      <c r="G11" s="3" t="n"/>
    </row>
    <row r="12">
      <c r="A12" s="3" t="inlineStr">
        <is>
          <t>BTS</t>
        </is>
      </c>
      <c r="B12" s="3" t="inlineStr">
        <is>
          <t>IRE</t>
        </is>
      </c>
      <c r="C12" s="3" t="n">
        <v>2</v>
      </c>
      <c r="D12" s="3" t="n"/>
      <c r="E12" s="3" t="n"/>
      <c r="F12" s="3" t="n"/>
      <c r="G12" s="3" t="n"/>
    </row>
    <row r="13">
      <c r="A13" s="3" t="inlineStr">
        <is>
          <t>HH Shaikh Nasser Day (BTS)</t>
        </is>
      </c>
      <c r="B13" s="3" t="inlineStr">
        <is>
          <t>UAE</t>
        </is>
      </c>
      <c r="C13" s="3" t="n">
        <v>3</v>
      </c>
      <c r="D13" s="3" t="n"/>
      <c r="E13" s="3" t="n"/>
      <c r="F13" s="3" t="n"/>
      <c r="G13" s="3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6" t="inlineStr">
        <is>
          <t>TOTAL</t>
        </is>
      </c>
      <c r="B17" s="6" t="n"/>
      <c r="C17" s="6">
        <f>SUM(C6:C16)</f>
        <v/>
      </c>
      <c r="D17" s="6" t="n"/>
      <c r="E17" s="6" t="n"/>
      <c r="F17" s="6" t="n"/>
      <c r="G17" s="6" t="n"/>
    </row>
    <row r="19">
      <c r="A19" s="50" t="inlineStr">
        <is>
          <t>SECTION 2: INTERNATIONAL HORSE REGISTER (list every international horse)</t>
        </is>
      </c>
      <c r="B19" s="53" t="n"/>
      <c r="C19" s="53" t="n"/>
      <c r="D19" s="53" t="n"/>
      <c r="E19" s="53" t="n"/>
      <c r="F19" s="53" t="n"/>
      <c r="G19" s="53" t="n"/>
    </row>
    <row r="20">
      <c r="A20" s="8" t="inlineStr">
        <is>
          <t>Horse Name</t>
        </is>
      </c>
      <c r="B20" s="8" t="inlineStr">
        <is>
          <t>Trainer</t>
        </is>
      </c>
      <c r="C20" s="8" t="inlineStr">
        <is>
          <t>Country</t>
        </is>
      </c>
      <c r="D20" s="8" t="inlineStr">
        <is>
          <t>Competition</t>
        </is>
      </c>
      <c r="E20" s="8" t="inlineStr">
        <is>
          <t>Winner? (Y/N)</t>
        </is>
      </c>
      <c r="F20" s="8" t="inlineStr">
        <is>
          <t>No. of Wins</t>
        </is>
      </c>
      <c r="G20" s="8" t="inlineStr">
        <is>
          <t>Notes</t>
        </is>
      </c>
    </row>
    <row r="21">
      <c r="A21" s="24" t="inlineStr">
        <is>
          <t>Lord Glitters (FR)</t>
        </is>
      </c>
      <c r="B21" s="24" t="inlineStr">
        <is>
          <t xml:space="preserve">David O'Meara </t>
        </is>
      </c>
      <c r="C21" s="24" t="inlineStr">
        <is>
          <t>GB</t>
        </is>
      </c>
      <c r="D21" s="24" t="inlineStr">
        <is>
          <t xml:space="preserve">Bahrain International Trophy </t>
        </is>
      </c>
      <c r="E21" s="24" t="inlineStr">
        <is>
          <t>Y</t>
        </is>
      </c>
      <c r="F21" s="21" t="n">
        <v>1</v>
      </c>
      <c r="G21" s="9" t="n"/>
    </row>
    <row r="22">
      <c r="A22" s="24" t="inlineStr">
        <is>
          <t>Barney Roy (GB)</t>
        </is>
      </c>
      <c r="B22" s="24" t="inlineStr">
        <is>
          <t>Charlie Applebly</t>
        </is>
      </c>
      <c r="C22" s="24" t="inlineStr">
        <is>
          <t>UAE</t>
        </is>
      </c>
      <c r="D22" s="24" t="inlineStr">
        <is>
          <t xml:space="preserve">Bahrain International Trophy </t>
        </is>
      </c>
      <c r="E22" s="24" t="inlineStr">
        <is>
          <t>N</t>
        </is>
      </c>
      <c r="F22" s="21" t="n"/>
      <c r="G22" s="9" t="n"/>
    </row>
    <row r="23">
      <c r="A23" s="24" t="inlineStr">
        <is>
          <t>Magny Cours (USA)</t>
        </is>
      </c>
      <c r="B23" s="24" t="inlineStr">
        <is>
          <t>A Fabre</t>
        </is>
      </c>
      <c r="C23" s="24" t="inlineStr">
        <is>
          <t>UAE</t>
        </is>
      </c>
      <c r="D23" s="24" t="inlineStr">
        <is>
          <t xml:space="preserve">Bahrain International Trophy </t>
        </is>
      </c>
      <c r="E23" s="24" t="inlineStr">
        <is>
          <t>N</t>
        </is>
      </c>
      <c r="F23" s="21" t="n"/>
      <c r="G23" s="9" t="n"/>
    </row>
    <row r="24">
      <c r="A24" s="24" t="inlineStr">
        <is>
          <t>Fev Rover (IRE)</t>
        </is>
      </c>
      <c r="B24" s="24" t="inlineStr">
        <is>
          <t xml:space="preserve">Richard Fahey </t>
        </is>
      </c>
      <c r="C24" s="24" t="inlineStr">
        <is>
          <t>GB</t>
        </is>
      </c>
      <c r="D24" s="24" t="inlineStr">
        <is>
          <t xml:space="preserve">Bahrain International Trophy </t>
        </is>
      </c>
      <c r="E24" s="24" t="inlineStr">
        <is>
          <t>N</t>
        </is>
      </c>
      <c r="F24" s="21" t="n"/>
      <c r="G24" s="9" t="n"/>
    </row>
    <row r="25">
      <c r="A25" s="24" t="inlineStr">
        <is>
          <t>Cadillac (IRE)</t>
        </is>
      </c>
      <c r="B25" s="24" t="inlineStr">
        <is>
          <t xml:space="preserve">Mrs John Harrington </t>
        </is>
      </c>
      <c r="C25" s="24" t="inlineStr">
        <is>
          <t>IRE</t>
        </is>
      </c>
      <c r="D25" s="24" t="inlineStr">
        <is>
          <t xml:space="preserve">Bahrain International Trophy </t>
        </is>
      </c>
      <c r="E25" s="24" t="inlineStr">
        <is>
          <t>N</t>
        </is>
      </c>
      <c r="F25" s="21" t="n"/>
      <c r="G25" s="9" t="n"/>
    </row>
    <row r="26">
      <c r="A26" s="24" t="inlineStr">
        <is>
          <t>Penja (FR)</t>
        </is>
      </c>
      <c r="B26" s="24" t="inlineStr">
        <is>
          <t xml:space="preserve">Andreas Suborics </t>
        </is>
      </c>
      <c r="C26" s="24" t="inlineStr">
        <is>
          <t>FR</t>
        </is>
      </c>
      <c r="D26" s="24" t="inlineStr">
        <is>
          <t xml:space="preserve">Bahrain International Trophy </t>
        </is>
      </c>
      <c r="E26" s="24" t="inlineStr">
        <is>
          <t>N</t>
        </is>
      </c>
      <c r="F26" s="21" t="n"/>
      <c r="G26" s="9" t="n"/>
    </row>
    <row r="27">
      <c r="A27" s="24" t="inlineStr">
        <is>
          <t>Pogo (IRE)</t>
        </is>
      </c>
      <c r="B27" s="24" t="inlineStr">
        <is>
          <t>Charlie Hills</t>
        </is>
      </c>
      <c r="C27" s="24" t="inlineStr">
        <is>
          <t>GB</t>
        </is>
      </c>
      <c r="D27" s="24" t="inlineStr">
        <is>
          <t xml:space="preserve">Bahrain International Trophy </t>
        </is>
      </c>
      <c r="E27" s="24" t="inlineStr">
        <is>
          <t>N</t>
        </is>
      </c>
      <c r="F27" s="21" t="n"/>
      <c r="G27" s="9" t="n"/>
    </row>
    <row r="28">
      <c r="A28" s="24" t="inlineStr">
        <is>
          <t>Dubai Future (GB)</t>
        </is>
      </c>
      <c r="B28" s="24" t="inlineStr">
        <is>
          <t>Saeed Bin Suroor</t>
        </is>
      </c>
      <c r="C28" s="24" t="inlineStr">
        <is>
          <t>UAE</t>
        </is>
      </c>
      <c r="D28" s="24" t="inlineStr">
        <is>
          <t xml:space="preserve">Bahrain International Trophy </t>
        </is>
      </c>
      <c r="E28" s="24" t="inlineStr">
        <is>
          <t>N</t>
        </is>
      </c>
      <c r="F28" s="21" t="n"/>
      <c r="G28" s="9" t="n"/>
    </row>
    <row r="29">
      <c r="A29" s="24" t="inlineStr">
        <is>
          <t xml:space="preserve">Zakouski (GB) </t>
        </is>
      </c>
      <c r="B29" s="24" t="inlineStr">
        <is>
          <t>Charlie Applebly</t>
        </is>
      </c>
      <c r="C29" s="24" t="inlineStr">
        <is>
          <t>UAE</t>
        </is>
      </c>
      <c r="D29" s="24" t="inlineStr">
        <is>
          <t xml:space="preserve">Bahrain International Trophy </t>
        </is>
      </c>
      <c r="E29" s="24" t="inlineStr">
        <is>
          <t>N</t>
        </is>
      </c>
      <c r="F29" s="21" t="n"/>
      <c r="G29" s="9" t="n"/>
    </row>
    <row r="30">
      <c r="A30" s="24" t="inlineStr">
        <is>
          <t>Victory Chime (IRE)</t>
        </is>
      </c>
      <c r="B30" s="24" t="inlineStr">
        <is>
          <t xml:space="preserve">Ralph Beckett </t>
        </is>
      </c>
      <c r="C30" s="24" t="inlineStr">
        <is>
          <t>GB</t>
        </is>
      </c>
      <c r="D30" s="24" t="inlineStr">
        <is>
          <t xml:space="preserve">Bahrain International Trophy </t>
        </is>
      </c>
      <c r="E30" s="24" t="inlineStr">
        <is>
          <t>N</t>
        </is>
      </c>
      <c r="F30" s="21" t="n"/>
      <c r="G30" s="9" t="n"/>
    </row>
    <row r="31">
      <c r="A31" s="25" t="inlineStr">
        <is>
          <t>Magical Wish (IRE)</t>
        </is>
      </c>
      <c r="B31" s="25" t="inlineStr">
        <is>
          <t>J S Moore</t>
        </is>
      </c>
      <c r="C31" s="25" t="inlineStr">
        <is>
          <t>GB</t>
        </is>
      </c>
      <c r="D31" s="25" t="inlineStr">
        <is>
          <t>Bahrain Turs Series</t>
        </is>
      </c>
      <c r="E31" s="25" t="inlineStr">
        <is>
          <t>Y</t>
        </is>
      </c>
      <c r="F31" s="21" t="n">
        <v>1</v>
      </c>
      <c r="G31" s="9" t="n"/>
    </row>
    <row r="32">
      <c r="A32" s="24" t="inlineStr">
        <is>
          <t>Wonder Elzaam (IRE)</t>
        </is>
      </c>
      <c r="B32" s="24" t="inlineStr">
        <is>
          <t>J.S Moore</t>
        </is>
      </c>
      <c r="C32" s="24" t="inlineStr">
        <is>
          <t>GB</t>
        </is>
      </c>
      <c r="D32" s="25" t="inlineStr">
        <is>
          <t>Bahrain Turs Series</t>
        </is>
      </c>
      <c r="E32" s="21" t="inlineStr">
        <is>
          <t>N</t>
        </is>
      </c>
      <c r="F32" s="21" t="n"/>
      <c r="G32" s="9" t="n"/>
    </row>
    <row r="33">
      <c r="A33" s="24" t="inlineStr">
        <is>
          <t>King's Knight (IRE)</t>
        </is>
      </c>
      <c r="B33" s="24" t="inlineStr">
        <is>
          <t>Charles Hills</t>
        </is>
      </c>
      <c r="C33" s="24" t="inlineStr">
        <is>
          <t>GB</t>
        </is>
      </c>
      <c r="D33" s="25" t="inlineStr">
        <is>
          <t>Bahrain Turs Series</t>
        </is>
      </c>
      <c r="E33" s="21" t="inlineStr">
        <is>
          <t>N</t>
        </is>
      </c>
      <c r="F33" s="21" t="n"/>
      <c r="G33" s="9" t="n"/>
    </row>
    <row r="34">
      <c r="A34" s="24" t="inlineStr">
        <is>
          <t>Natural Path (IRE)</t>
        </is>
      </c>
      <c r="B34" s="24" t="inlineStr">
        <is>
          <t>Micheal Bell</t>
        </is>
      </c>
      <c r="C34" s="24" t="inlineStr">
        <is>
          <t>GB</t>
        </is>
      </c>
      <c r="D34" s="25" t="inlineStr">
        <is>
          <t>Bahrain Turs Series</t>
        </is>
      </c>
      <c r="E34" s="21" t="inlineStr">
        <is>
          <t>N</t>
        </is>
      </c>
      <c r="F34" s="21" t="n"/>
      <c r="G34" s="9" t="n"/>
    </row>
    <row r="35">
      <c r="A35" s="24" t="inlineStr">
        <is>
          <t>Peerless (IRE)</t>
        </is>
      </c>
      <c r="B35" s="24" t="inlineStr">
        <is>
          <t>Jamie Osborne</t>
        </is>
      </c>
      <c r="C35" s="24" t="inlineStr">
        <is>
          <t>GB</t>
        </is>
      </c>
      <c r="D35" s="25" t="inlineStr">
        <is>
          <t>Bahrain Turs Series</t>
        </is>
      </c>
      <c r="E35" s="21" t="inlineStr">
        <is>
          <t>N</t>
        </is>
      </c>
      <c r="F35" s="21" t="n"/>
      <c r="G35" s="9" t="n"/>
    </row>
    <row r="36">
      <c r="A36" s="24" t="inlineStr">
        <is>
          <t xml:space="preserve">La Maquina (GB) </t>
        </is>
      </c>
      <c r="B36" s="24" t="inlineStr">
        <is>
          <t>George Baker</t>
        </is>
      </c>
      <c r="C36" s="24" t="inlineStr">
        <is>
          <t>GB</t>
        </is>
      </c>
      <c r="D36" s="25" t="inlineStr">
        <is>
          <t>Bahrain Turs Series</t>
        </is>
      </c>
      <c r="E36" s="21" t="inlineStr">
        <is>
          <t>N</t>
        </is>
      </c>
      <c r="F36" s="21" t="n"/>
      <c r="G36" s="9" t="n"/>
    </row>
    <row r="37">
      <c r="A37" s="24" t="inlineStr">
        <is>
          <t>Dawaam (USA)</t>
        </is>
      </c>
      <c r="B37" s="24" t="inlineStr">
        <is>
          <t>George Baker</t>
        </is>
      </c>
      <c r="C37" s="24" t="inlineStr">
        <is>
          <t>GB</t>
        </is>
      </c>
      <c r="D37" s="25" t="inlineStr">
        <is>
          <t>Bahrain Turs Series</t>
        </is>
      </c>
      <c r="E37" s="21" t="inlineStr">
        <is>
          <t>N</t>
        </is>
      </c>
      <c r="F37" s="21" t="n"/>
      <c r="G37" s="9" t="n"/>
    </row>
    <row r="38">
      <c r="A38" s="24" t="inlineStr">
        <is>
          <t>Howzer Black (IRE)</t>
        </is>
      </c>
      <c r="B38" s="24" t="inlineStr">
        <is>
          <t>Keith Dalgleish</t>
        </is>
      </c>
      <c r="C38" s="24" t="inlineStr">
        <is>
          <t>GB</t>
        </is>
      </c>
      <c r="D38" s="25" t="inlineStr">
        <is>
          <t>Bahrain Turs Series</t>
        </is>
      </c>
      <c r="E38" s="21" t="inlineStr">
        <is>
          <t>N</t>
        </is>
      </c>
      <c r="F38" s="21" t="n"/>
      <c r="G38" s="9" t="n"/>
    </row>
    <row r="39">
      <c r="A39" s="24" t="inlineStr">
        <is>
          <t xml:space="preserve">Ace Rothstein (USA) </t>
        </is>
      </c>
      <c r="B39" s="24" t="inlineStr">
        <is>
          <t>Micheal Bell</t>
        </is>
      </c>
      <c r="C39" s="24" t="inlineStr">
        <is>
          <t>GB</t>
        </is>
      </c>
      <c r="D39" s="25" t="inlineStr">
        <is>
          <t>Bahrain Turs Series</t>
        </is>
      </c>
      <c r="E39" s="21" t="inlineStr">
        <is>
          <t>Y</t>
        </is>
      </c>
      <c r="F39" s="21" t="n">
        <v>1</v>
      </c>
      <c r="G39" s="9" t="n"/>
    </row>
    <row r="40">
      <c r="A40" s="24" t="inlineStr">
        <is>
          <t xml:space="preserve">Arqoob (IRE) </t>
        </is>
      </c>
      <c r="B40" s="24" t="inlineStr">
        <is>
          <t>William Jarvis</t>
        </is>
      </c>
      <c r="C40" s="24" t="inlineStr">
        <is>
          <t>GB</t>
        </is>
      </c>
      <c r="D40" s="25" t="inlineStr">
        <is>
          <t>Bahrain Turs Series</t>
        </is>
      </c>
      <c r="E40" s="21" t="inlineStr">
        <is>
          <t>N</t>
        </is>
      </c>
      <c r="F40" s="21" t="n"/>
      <c r="G40" s="9" t="n"/>
    </row>
    <row r="41">
      <c r="A41" s="24" t="inlineStr">
        <is>
          <t>Brains (IRE)</t>
        </is>
      </c>
      <c r="B41" s="24" t="inlineStr">
        <is>
          <t>Jamie Osborne</t>
        </is>
      </c>
      <c r="C41" s="24" t="inlineStr">
        <is>
          <t>GB</t>
        </is>
      </c>
      <c r="D41" s="25" t="inlineStr">
        <is>
          <t>Bahrain Turs Series</t>
        </is>
      </c>
      <c r="E41" s="21" t="inlineStr">
        <is>
          <t>N</t>
        </is>
      </c>
      <c r="F41" s="21" t="n"/>
      <c r="G41" s="9" t="n"/>
    </row>
    <row r="42">
      <c r="A42" s="24" t="inlineStr">
        <is>
          <t>Nebo (IRE)</t>
        </is>
      </c>
      <c r="B42" s="24" t="inlineStr">
        <is>
          <t>Tom Hogan</t>
        </is>
      </c>
      <c r="C42" s="24" t="inlineStr">
        <is>
          <t>IRE</t>
        </is>
      </c>
      <c r="D42" s="25" t="inlineStr">
        <is>
          <t>Bahrain Turs Series</t>
        </is>
      </c>
      <c r="E42" s="21" t="inlineStr">
        <is>
          <t>N</t>
        </is>
      </c>
      <c r="F42" s="21" t="n"/>
      <c r="G42" s="9" t="n"/>
    </row>
    <row r="43">
      <c r="A43" s="24" t="inlineStr">
        <is>
          <t>Koolasice (IRE)</t>
        </is>
      </c>
      <c r="B43" s="24" t="inlineStr">
        <is>
          <t>Ross O'sullivan</t>
        </is>
      </c>
      <c r="C43" s="24" t="inlineStr">
        <is>
          <t>IRE</t>
        </is>
      </c>
      <c r="D43" s="25" t="inlineStr">
        <is>
          <t>Bahrain Turs Series</t>
        </is>
      </c>
      <c r="E43" s="21" t="inlineStr">
        <is>
          <t>N</t>
        </is>
      </c>
      <c r="F43" s="21" t="n"/>
      <c r="G43" s="9" t="n"/>
    </row>
    <row r="44">
      <c r="A44" s="24" t="inlineStr">
        <is>
          <t>Pistoletto (USA)</t>
        </is>
      </c>
      <c r="B44" s="24" t="inlineStr">
        <is>
          <t>John Ryan</t>
        </is>
      </c>
      <c r="C44" s="24" t="inlineStr">
        <is>
          <t>GB</t>
        </is>
      </c>
      <c r="D44" s="25" t="inlineStr">
        <is>
          <t>Bahrain Turs Series</t>
        </is>
      </c>
      <c r="E44" s="21" t="inlineStr">
        <is>
          <t>N</t>
        </is>
      </c>
      <c r="F44" s="21" t="n"/>
      <c r="G44" s="9" t="n"/>
    </row>
    <row r="45">
      <c r="A45" s="24" t="inlineStr">
        <is>
          <t>Jack The Truth (IRE)</t>
        </is>
      </c>
      <c r="B45" s="24" t="inlineStr">
        <is>
          <t>George Scott</t>
        </is>
      </c>
      <c r="C45" s="24" t="inlineStr">
        <is>
          <t>GB</t>
        </is>
      </c>
      <c r="D45" s="25" t="inlineStr">
        <is>
          <t>Bahrain Turs Series</t>
        </is>
      </c>
      <c r="E45" s="21" t="inlineStr">
        <is>
          <t>N</t>
        </is>
      </c>
      <c r="F45" s="21" t="n"/>
      <c r="G45" s="9" t="n"/>
    </row>
    <row r="46">
      <c r="A46" s="24" t="inlineStr">
        <is>
          <t>Tamborrada (GB)</t>
        </is>
      </c>
      <c r="B46" s="24" t="inlineStr">
        <is>
          <t>Charlie Applebly</t>
        </is>
      </c>
      <c r="C46" s="24" t="inlineStr">
        <is>
          <t>UAE</t>
        </is>
      </c>
      <c r="D46" s="25" t="inlineStr">
        <is>
          <t>Bahrain Turs Series - Vision 2030 Cup</t>
        </is>
      </c>
      <c r="E46" s="24" t="inlineStr">
        <is>
          <t>N</t>
        </is>
      </c>
      <c r="F46" s="21" t="n"/>
      <c r="G46" s="24" t="n"/>
    </row>
    <row r="47">
      <c r="A47" s="24" t="inlineStr">
        <is>
          <t>Silent Film (GB)</t>
        </is>
      </c>
      <c r="B47" s="24" t="inlineStr">
        <is>
          <t>Charlie Applebly</t>
        </is>
      </c>
      <c r="C47" s="24" t="inlineStr">
        <is>
          <t>UAE</t>
        </is>
      </c>
      <c r="D47" s="25" t="inlineStr">
        <is>
          <t>Bahrain Turs Series - AlSakhir Cup</t>
        </is>
      </c>
      <c r="E47" s="24" t="inlineStr">
        <is>
          <t>Y</t>
        </is>
      </c>
      <c r="F47" s="21" t="n">
        <v>1</v>
      </c>
      <c r="G47" s="24" t="n"/>
    </row>
    <row r="48">
      <c r="A48" s="24" t="inlineStr">
        <is>
          <t>Urgent Appeal (IRE)</t>
        </is>
      </c>
      <c r="B48" s="24" t="inlineStr">
        <is>
          <t>Simon &amp; Ed Crisford</t>
        </is>
      </c>
      <c r="C48" s="24" t="inlineStr">
        <is>
          <t>UAE</t>
        </is>
      </c>
      <c r="D48" s="25" t="inlineStr">
        <is>
          <t>Bahrain Turs Series - AlSakhir Cup</t>
        </is>
      </c>
      <c r="E48" s="24" t="inlineStr">
        <is>
          <t>N</t>
        </is>
      </c>
      <c r="F48" s="21" t="n"/>
      <c r="G48" s="24" t="n"/>
    </row>
    <row r="49">
      <c r="A49" s="6" t="inlineStr">
        <is>
          <t>TOTALS:</t>
        </is>
      </c>
      <c r="B49" s="6" t="n"/>
      <c r="C49" s="6" t="n"/>
      <c r="D49" s="6" t="n"/>
      <c r="E49" s="6">
        <f>COUNTIF(E21:E47,"Y")</f>
        <v/>
      </c>
      <c r="F49" s="6">
        <f>SUM(F21:F47)</f>
        <v/>
      </c>
      <c r="G49" s="6" t="n"/>
    </row>
    <row r="51">
      <c r="A51" s="50" t="inlineStr">
        <is>
          <t>SECTION 3: INTERNATIONAL WINNERS</t>
        </is>
      </c>
      <c r="B51" s="53" t="n"/>
      <c r="C51" s="53" t="n"/>
      <c r="D51" s="53" t="n"/>
      <c r="E51" s="53" t="n"/>
      <c r="F51" s="53" t="n"/>
      <c r="G51" s="53" t="n"/>
    </row>
    <row r="52">
      <c r="A52" s="8" t="inlineStr">
        <is>
          <t>Horse</t>
        </is>
      </c>
      <c r="B52" s="8" t="inlineStr">
        <is>
          <t>Trainer</t>
        </is>
      </c>
      <c r="C52" s="8" t="inlineStr">
        <is>
          <t>Country</t>
        </is>
      </c>
      <c r="D52" s="8" t="inlineStr">
        <is>
          <t>Race</t>
        </is>
      </c>
      <c r="E52" s="8" t="inlineStr">
        <is>
          <t>Date</t>
        </is>
      </c>
      <c r="F52" s="8" t="inlineStr">
        <is>
          <t>Win # for Horse</t>
        </is>
      </c>
      <c r="G52" s="8" t="inlineStr">
        <is>
          <t>Notes</t>
        </is>
      </c>
    </row>
    <row r="53">
      <c r="A53" s="24" t="inlineStr">
        <is>
          <t>Lord Glitters (FR)</t>
        </is>
      </c>
      <c r="B53" s="24" t="inlineStr">
        <is>
          <t xml:space="preserve">David O'Meara </t>
        </is>
      </c>
      <c r="C53" s="24" t="inlineStr">
        <is>
          <t>GB</t>
        </is>
      </c>
      <c r="D53" s="24" t="inlineStr">
        <is>
          <t xml:space="preserve">Bahrain International Trophy </t>
        </is>
      </c>
      <c r="E53" s="29" t="n">
        <v>44519</v>
      </c>
      <c r="F53" s="24" t="n">
        <v>1</v>
      </c>
      <c r="G53" s="9" t="n"/>
    </row>
    <row r="54">
      <c r="A54" s="24" t="inlineStr">
        <is>
          <t xml:space="preserve">Ace Rothstein (USA) </t>
        </is>
      </c>
      <c r="B54" s="24" t="inlineStr">
        <is>
          <t>Micheal Bell</t>
        </is>
      </c>
      <c r="C54" s="24" t="inlineStr">
        <is>
          <t>GB</t>
        </is>
      </c>
      <c r="D54" s="25" t="inlineStr">
        <is>
          <t>Bahrain Turs Series - Al Adiyat Cup</t>
        </is>
      </c>
      <c r="E54" s="29" t="n">
        <v>44568</v>
      </c>
      <c r="F54" s="24" t="n">
        <v>1</v>
      </c>
      <c r="G54" s="9" t="n"/>
    </row>
    <row r="55">
      <c r="A55" s="25" t="inlineStr">
        <is>
          <t>Magical Wish (IRE)</t>
        </is>
      </c>
      <c r="B55" s="25" t="inlineStr">
        <is>
          <t>J S Moore</t>
        </is>
      </c>
      <c r="C55" s="25" t="inlineStr">
        <is>
          <t>GB</t>
        </is>
      </c>
      <c r="D55" s="25" t="inlineStr">
        <is>
          <t>Stewards Cup</t>
        </is>
      </c>
      <c r="E55" s="33" t="n">
        <v>44589</v>
      </c>
      <c r="F55" s="24" t="n">
        <v>1</v>
      </c>
      <c r="G55" s="9" t="n"/>
    </row>
    <row r="56">
      <c r="A56" s="24" t="inlineStr">
        <is>
          <t>Silent Film (GB)</t>
        </is>
      </c>
      <c r="B56" s="24" t="inlineStr">
        <is>
          <t>Charlie Applebly</t>
        </is>
      </c>
      <c r="C56" s="24" t="inlineStr">
        <is>
          <t>UAE</t>
        </is>
      </c>
      <c r="D56" s="25" t="inlineStr">
        <is>
          <t>Bahrain Turf Series - AlSakhir Cup</t>
        </is>
      </c>
      <c r="E56" s="29" t="n">
        <v>44610</v>
      </c>
      <c r="F56" s="24" t="n">
        <v>1</v>
      </c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1">
      <c r="A71" s="46" t="inlineStr">
        <is>
          <t>Total International Wins:</t>
        </is>
      </c>
      <c r="B71" s="53" t="n"/>
      <c r="C71" s="6">
        <f>COUNTA(A53:A69)</f>
        <v/>
      </c>
      <c r="D71" s="7" t="n"/>
      <c r="E71" s="7" t="n"/>
      <c r="F71" s="7" t="n"/>
      <c r="G71" s="7" t="n"/>
    </row>
    <row r="72">
      <c r="A72" s="46" t="inlineStr">
        <is>
          <t>Individual Winning Horses:</t>
        </is>
      </c>
      <c r="B72" s="53" t="n"/>
      <c r="C72" s="6">
        <f>COUNTIF(F53:F69,1)</f>
        <v/>
      </c>
      <c r="D72" s="7" t="n"/>
      <c r="E72" s="7" t="n"/>
      <c r="F72" s="7" t="n"/>
      <c r="G72" s="7" t="n"/>
    </row>
    <row r="73">
      <c r="A73" s="46" t="inlineStr">
        <is>
          <t>Dual+ Winners:</t>
        </is>
      </c>
      <c r="B73" s="53" t="n"/>
      <c r="C73" s="6">
        <f>C71-C72</f>
        <v/>
      </c>
      <c r="D73" s="7" t="n"/>
      <c r="E73" s="7" t="n"/>
      <c r="F73" s="7" t="n"/>
      <c r="G73" s="7" t="n"/>
    </row>
    <row r="75">
      <c r="A75" s="50" t="inlineStr">
        <is>
          <t>SECTION 4: INTERNATIONAL TRAINERS</t>
        </is>
      </c>
      <c r="B75" s="53" t="n"/>
      <c r="C75" s="53" t="n"/>
      <c r="D75" s="53" t="n"/>
      <c r="E75" s="53" t="n"/>
      <c r="F75" s="53" t="n"/>
      <c r="G75" s="53" t="n"/>
    </row>
    <row r="76">
      <c r="A76" s="10" t="inlineStr">
        <is>
          <t>Bahrain International Trophy</t>
        </is>
      </c>
    </row>
    <row r="77">
      <c r="A77" s="8" t="inlineStr">
        <is>
          <t>Trainer</t>
        </is>
      </c>
      <c r="B77" s="8" t="inlineStr">
        <is>
          <t>Country</t>
        </is>
      </c>
      <c r="C77" s="8" t="inlineStr">
        <is>
          <t>Notes</t>
        </is>
      </c>
      <c r="D77" s="8" t="n"/>
      <c r="E77" s="8" t="n"/>
      <c r="F77" s="8" t="n"/>
      <c r="G77" s="8" t="n"/>
    </row>
    <row r="78">
      <c r="A78" s="24" t="inlineStr">
        <is>
          <t xml:space="preserve">David O'Meara </t>
        </is>
      </c>
      <c r="B78" s="24" t="inlineStr">
        <is>
          <t>GB</t>
        </is>
      </c>
      <c r="C78" s="9" t="n"/>
    </row>
    <row r="79">
      <c r="A79" s="24" t="inlineStr">
        <is>
          <t>Charlie Applebly</t>
        </is>
      </c>
      <c r="B79" s="24" t="inlineStr">
        <is>
          <t>UAE</t>
        </is>
      </c>
      <c r="C79" s="9" t="n"/>
    </row>
    <row r="80">
      <c r="A80" s="24" t="inlineStr">
        <is>
          <t>A Fabre</t>
        </is>
      </c>
      <c r="B80" s="24" t="inlineStr">
        <is>
          <t>UAE</t>
        </is>
      </c>
      <c r="C80" s="9" t="n"/>
    </row>
    <row r="81">
      <c r="A81" s="24" t="inlineStr">
        <is>
          <t xml:space="preserve">Richard Fahey </t>
        </is>
      </c>
      <c r="B81" s="24" t="inlineStr">
        <is>
          <t>GB</t>
        </is>
      </c>
      <c r="C81" s="9" t="n"/>
    </row>
    <row r="82">
      <c r="A82" s="24" t="inlineStr">
        <is>
          <t xml:space="preserve">Mrs John Harrington </t>
        </is>
      </c>
      <c r="B82" s="24" t="inlineStr">
        <is>
          <t>IRE</t>
        </is>
      </c>
      <c r="C82" s="9" t="n"/>
    </row>
    <row r="83">
      <c r="A83" s="24" t="inlineStr">
        <is>
          <t xml:space="preserve">Andreas Suborics </t>
        </is>
      </c>
      <c r="B83" s="24" t="inlineStr">
        <is>
          <t>FR</t>
        </is>
      </c>
      <c r="C83" s="9" t="n"/>
    </row>
    <row r="84">
      <c r="A84" s="24" t="inlineStr">
        <is>
          <t>Charlie Hills</t>
        </is>
      </c>
      <c r="B84" s="24" t="inlineStr">
        <is>
          <t>GB</t>
        </is>
      </c>
      <c r="C84" s="9" t="n"/>
    </row>
    <row r="85">
      <c r="A85" s="24" t="inlineStr">
        <is>
          <t>Saeed Bin Suroor</t>
        </is>
      </c>
      <c r="B85" s="24" t="inlineStr">
        <is>
          <t>UAE</t>
        </is>
      </c>
      <c r="C85" s="9" t="n"/>
    </row>
    <row r="86">
      <c r="A86" s="24" t="inlineStr">
        <is>
          <t xml:space="preserve">Ralph Beckett </t>
        </is>
      </c>
      <c r="B86" s="24" t="inlineStr">
        <is>
          <t>GB</t>
        </is>
      </c>
      <c r="C86" s="9" t="n"/>
    </row>
    <row r="87">
      <c r="A87" s="10" t="inlineStr">
        <is>
          <t>Bahrain Turf Series</t>
        </is>
      </c>
    </row>
    <row r="88">
      <c r="A88" s="8" t="inlineStr">
        <is>
          <t>Trainer</t>
        </is>
      </c>
      <c r="B88" s="8" t="inlineStr">
        <is>
          <t>Country</t>
        </is>
      </c>
      <c r="C88" s="8" t="inlineStr">
        <is>
          <t>Notes</t>
        </is>
      </c>
      <c r="D88" s="8" t="n"/>
      <c r="E88" s="8" t="n"/>
      <c r="F88" s="8" t="n"/>
      <c r="G88" s="8" t="n"/>
    </row>
    <row r="89">
      <c r="A89" s="24" t="inlineStr">
        <is>
          <t>J.S Moore</t>
        </is>
      </c>
      <c r="B89" s="24" t="inlineStr">
        <is>
          <t>GB</t>
        </is>
      </c>
      <c r="C89" s="9" t="n"/>
    </row>
    <row r="90">
      <c r="A90" s="24" t="inlineStr">
        <is>
          <t>Charles Hills</t>
        </is>
      </c>
      <c r="B90" s="24" t="inlineStr">
        <is>
          <t>GB</t>
        </is>
      </c>
      <c r="C90" s="9" t="n"/>
    </row>
    <row r="91">
      <c r="A91" s="24" t="inlineStr">
        <is>
          <t>Micheal Bell</t>
        </is>
      </c>
      <c r="B91" s="24" t="inlineStr">
        <is>
          <t>GB</t>
        </is>
      </c>
      <c r="C91" s="9" t="n"/>
    </row>
    <row r="92">
      <c r="A92" s="24" t="inlineStr">
        <is>
          <t>Jamie Osborne</t>
        </is>
      </c>
      <c r="B92" s="24" t="inlineStr">
        <is>
          <t>GB</t>
        </is>
      </c>
      <c r="C92" s="9" t="n"/>
    </row>
    <row r="93">
      <c r="A93" s="24" t="inlineStr">
        <is>
          <t>George Baker</t>
        </is>
      </c>
      <c r="B93" s="24" t="inlineStr">
        <is>
          <t>GB</t>
        </is>
      </c>
      <c r="C93" s="9" t="n"/>
    </row>
    <row r="94">
      <c r="A94" s="24" t="inlineStr">
        <is>
          <t>Keith Dalgleish</t>
        </is>
      </c>
      <c r="B94" s="24" t="inlineStr">
        <is>
          <t>GB</t>
        </is>
      </c>
      <c r="C94" s="9" t="n"/>
    </row>
    <row r="95">
      <c r="A95" s="24" t="inlineStr">
        <is>
          <t>William Jarvis</t>
        </is>
      </c>
      <c r="B95" s="24" t="inlineStr">
        <is>
          <t>GB</t>
        </is>
      </c>
      <c r="C95" s="9" t="n"/>
    </row>
    <row r="96">
      <c r="A96" s="24" t="inlineStr">
        <is>
          <t>Tom Hogan</t>
        </is>
      </c>
      <c r="B96" s="24" t="inlineStr">
        <is>
          <t>IRE</t>
        </is>
      </c>
      <c r="C96" s="9" t="n"/>
    </row>
    <row r="97">
      <c r="A97" s="24" t="inlineStr">
        <is>
          <t>Ross O'sullivan</t>
        </is>
      </c>
      <c r="B97" s="24" t="inlineStr">
        <is>
          <t>IRE</t>
        </is>
      </c>
      <c r="C97" s="9" t="n"/>
    </row>
    <row r="98">
      <c r="A98" s="24" t="inlineStr">
        <is>
          <t>John Ryan</t>
        </is>
      </c>
      <c r="B98" s="24" t="inlineStr">
        <is>
          <t>GB</t>
        </is>
      </c>
      <c r="C98" s="9" t="n"/>
    </row>
    <row r="99">
      <c r="A99" s="24" t="inlineStr">
        <is>
          <t>George Scott</t>
        </is>
      </c>
      <c r="B99" s="24" t="inlineStr">
        <is>
          <t>GB</t>
        </is>
      </c>
      <c r="C99" s="9" t="n"/>
    </row>
    <row r="100">
      <c r="A100" s="9" t="n"/>
      <c r="B100" s="9" t="n"/>
      <c r="C100" s="9" t="n"/>
    </row>
    <row r="101">
      <c r="A101" s="9" t="n"/>
      <c r="B101" s="9" t="n"/>
      <c r="C101" s="9" t="n"/>
    </row>
    <row r="102">
      <c r="A102" s="9" t="n"/>
      <c r="B102" s="9" t="n"/>
      <c r="C102" s="9" t="n"/>
    </row>
    <row r="104">
      <c r="A104" s="6" t="inlineStr">
        <is>
          <t>Total International Trainers:</t>
        </is>
      </c>
      <c r="B104" s="6" t="n">
        <v>20</v>
      </c>
      <c r="C104" s="6" t="n"/>
      <c r="D104" s="6" t="n"/>
      <c r="E104" s="6" t="n"/>
      <c r="F104" s="6" t="n"/>
      <c r="G104" s="6" t="n"/>
    </row>
    <row r="106">
      <c r="A106" s="50" t="inlineStr">
        <is>
          <t>SECTION 5: ADDITIONAL INT'L RACES (HH Shaikh Nasser Cup, Crown Prince Cup, King's Cup, etc.)</t>
        </is>
      </c>
      <c r="B106" s="53" t="n"/>
      <c r="C106" s="53" t="n"/>
      <c r="D106" s="53" t="n"/>
      <c r="E106" s="53" t="n"/>
      <c r="F106" s="53" t="n"/>
      <c r="G106" s="53" t="n"/>
    </row>
    <row r="107">
      <c r="A107" s="8" t="inlineStr">
        <is>
          <t>Race Name</t>
        </is>
      </c>
      <c r="B107" s="8" t="inlineStr">
        <is>
          <t>Horse</t>
        </is>
      </c>
      <c r="C107" s="8" t="inlineStr">
        <is>
          <t>Trainer</t>
        </is>
      </c>
      <c r="D107" s="8" t="inlineStr">
        <is>
          <t>Country</t>
        </is>
      </c>
      <c r="E107" s="8" t="inlineStr">
        <is>
          <t>Date</t>
        </is>
      </c>
      <c r="F107" s="8" t="inlineStr">
        <is>
          <t>Result</t>
        </is>
      </c>
      <c r="G107" s="8" t="inlineStr">
        <is>
          <t>Notes</t>
        </is>
      </c>
    </row>
    <row r="108">
      <c r="A108" s="25" t="inlineStr">
        <is>
          <t>Stewards Cup</t>
        </is>
      </c>
      <c r="B108" s="25" t="inlineStr">
        <is>
          <t>Magical Wish (IRE)</t>
        </is>
      </c>
      <c r="C108" s="25" t="inlineStr">
        <is>
          <t>J S Moore</t>
        </is>
      </c>
      <c r="D108" s="25" t="inlineStr">
        <is>
          <t>GB</t>
        </is>
      </c>
      <c r="E108" s="33" t="n">
        <v>44589</v>
      </c>
      <c r="F108" s="33" t="inlineStr">
        <is>
          <t>1st</t>
        </is>
      </c>
      <c r="G108" s="9" t="n"/>
    </row>
    <row r="109">
      <c r="A109" s="9" t="n"/>
      <c r="B109" s="9" t="n"/>
      <c r="C109" s="9" t="n"/>
      <c r="D109" s="9" t="n"/>
      <c r="E109" s="9" t="n"/>
      <c r="F109" s="9" t="n"/>
      <c r="G109" s="9" t="n"/>
    </row>
    <row r="110">
      <c r="A110" s="9" t="n"/>
      <c r="B110" s="9" t="n"/>
      <c r="C110" s="9" t="n"/>
      <c r="D110" s="9" t="n"/>
      <c r="E110" s="9" t="n"/>
      <c r="F110" s="9" t="n"/>
      <c r="G110" s="9" t="n"/>
    </row>
    <row r="111">
      <c r="A111" s="9" t="n"/>
      <c r="B111" s="9" t="n"/>
      <c r="C111" s="9" t="n"/>
      <c r="D111" s="9" t="n"/>
      <c r="E111" s="9" t="n"/>
      <c r="F111" s="9" t="n"/>
      <c r="G111" s="9" t="n"/>
    </row>
    <row r="112">
      <c r="A112" s="9" t="n"/>
      <c r="B112" s="9" t="n"/>
      <c r="C112" s="9" t="n"/>
      <c r="D112" s="9" t="n"/>
      <c r="E112" s="9" t="n"/>
      <c r="F112" s="9" t="n"/>
      <c r="G112" s="9" t="n"/>
    </row>
  </sheetData>
  <mergeCells count="9">
    <mergeCell ref="A72:B72"/>
    <mergeCell ref="A1:G1"/>
    <mergeCell ref="A106:G106"/>
    <mergeCell ref="A73:B73"/>
    <mergeCell ref="A71:B71"/>
    <mergeCell ref="A4:G4"/>
    <mergeCell ref="A19:G19"/>
    <mergeCell ref="A51:G51"/>
    <mergeCell ref="A75:G7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FF9800"/>
    <outlinePr summaryBelow="1" summaryRight="1"/>
    <pageSetUpPr/>
  </sheetPr>
  <dimension ref="A1:H124"/>
  <sheetViews>
    <sheetView topLeftCell="A27" zoomScaleNormal="100" workbookViewId="0">
      <selection activeCell="C47" sqref="C47"/>
    </sheetView>
  </sheetViews>
  <sheetFormatPr baseColWidth="8" defaultColWidth="8.7109375" defaultRowHeight="14.45"/>
  <cols>
    <col width="30" customWidth="1" min="1" max="1"/>
    <col width="22" customWidth="1" min="2" max="2"/>
    <col width="16" customWidth="1" min="3" max="3"/>
    <col width="40.42578125" bestFit="1" customWidth="1" min="4" max="4"/>
    <col width="14" customWidth="1" min="5" max="5"/>
    <col width="18" customWidth="1" min="6" max="6"/>
    <col width="30" customWidth="1" min="7" max="7"/>
  </cols>
  <sheetData>
    <row r="1" ht="16.9" customHeight="1">
      <c r="A1" s="48" t="inlineStr">
        <is>
          <t>International Participation — 2022/23 Season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3" t="inlineStr">
        <is>
          <t>BIT</t>
        </is>
      </c>
      <c r="B6" s="3" t="inlineStr">
        <is>
          <t>UAE</t>
        </is>
      </c>
      <c r="C6" s="3" t="n">
        <v>3</v>
      </c>
      <c r="D6" s="3" t="n"/>
      <c r="E6" s="3" t="n"/>
      <c r="F6" s="3" t="n"/>
      <c r="G6" s="3" t="n"/>
    </row>
    <row r="7">
      <c r="A7" s="3" t="inlineStr">
        <is>
          <t>BIT</t>
        </is>
      </c>
      <c r="B7" s="3" t="inlineStr">
        <is>
          <t>FR</t>
        </is>
      </c>
      <c r="C7" s="3" t="n">
        <v>3</v>
      </c>
      <c r="D7" s="3" t="n"/>
      <c r="E7" s="3" t="n"/>
      <c r="F7" s="3" t="n"/>
      <c r="G7" s="3" t="n"/>
    </row>
    <row r="8">
      <c r="A8" s="3" t="inlineStr">
        <is>
          <t>BIT</t>
        </is>
      </c>
      <c r="B8" s="3" t="inlineStr">
        <is>
          <t>NOR</t>
        </is>
      </c>
      <c r="C8" s="3" t="n">
        <v>1</v>
      </c>
      <c r="D8" s="3" t="n"/>
      <c r="E8" s="3" t="n"/>
      <c r="F8" s="3" t="n"/>
      <c r="G8" s="3" t="n"/>
    </row>
    <row r="9">
      <c r="A9" s="3" t="inlineStr">
        <is>
          <t>BIT</t>
        </is>
      </c>
      <c r="B9" s="3" t="inlineStr">
        <is>
          <t>IRE</t>
        </is>
      </c>
      <c r="C9" s="3" t="n">
        <v>1</v>
      </c>
      <c r="D9" s="3" t="n"/>
      <c r="E9" s="3" t="n"/>
      <c r="F9" s="3" t="n"/>
      <c r="G9" s="3" t="n"/>
    </row>
    <row r="10">
      <c r="A10" s="3" t="inlineStr">
        <is>
          <t>BTS</t>
        </is>
      </c>
      <c r="B10" s="3" t="inlineStr">
        <is>
          <t>GB</t>
        </is>
      </c>
      <c r="C10" s="3" t="n">
        <v>15</v>
      </c>
      <c r="D10" s="3" t="n"/>
      <c r="E10" s="3" t="n"/>
      <c r="F10" s="3" t="n"/>
      <c r="G10" s="3" t="n"/>
    </row>
    <row r="11">
      <c r="A11" s="3" t="inlineStr">
        <is>
          <t>BTS</t>
        </is>
      </c>
      <c r="B11" s="3" t="inlineStr">
        <is>
          <t>IRE</t>
        </is>
      </c>
      <c r="C11" s="3" t="n">
        <v>2</v>
      </c>
      <c r="D11" s="3" t="n"/>
      <c r="E11" s="3" t="n"/>
      <c r="F11" s="3" t="n"/>
      <c r="G11" s="3" t="n"/>
    </row>
    <row r="12">
      <c r="A12" s="3" t="inlineStr">
        <is>
          <t>BTS</t>
        </is>
      </c>
      <c r="B12" s="3" t="inlineStr">
        <is>
          <t>NOR</t>
        </is>
      </c>
      <c r="C12" s="3" t="n">
        <v>2</v>
      </c>
      <c r="D12" s="3" t="n"/>
      <c r="E12" s="3" t="n"/>
      <c r="F12" s="3" t="n"/>
      <c r="G12" s="3" t="n"/>
    </row>
    <row r="13">
      <c r="A13" s="3" t="inlineStr">
        <is>
          <t>Crown Prince Cup</t>
        </is>
      </c>
      <c r="B13" s="3" t="inlineStr">
        <is>
          <t>UAE</t>
        </is>
      </c>
      <c r="C13" s="3" t="n">
        <v>3</v>
      </c>
      <c r="D13" s="3" t="n"/>
      <c r="E13" s="3" t="n"/>
      <c r="F13" s="3" t="n"/>
      <c r="G13" s="3" t="n"/>
    </row>
    <row r="14">
      <c r="A14" s="3" t="inlineStr">
        <is>
          <t>King's Cup</t>
        </is>
      </c>
      <c r="B14" s="3" t="inlineStr">
        <is>
          <t>UAE</t>
        </is>
      </c>
      <c r="C14" s="3" t="n">
        <v>3</v>
      </c>
      <c r="D14" s="3" t="n"/>
      <c r="E14" s="3" t="n"/>
      <c r="F14" s="3" t="n"/>
      <c r="G14" s="3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6" t="inlineStr">
        <is>
          <t>TOTAL</t>
        </is>
      </c>
      <c r="B18" s="6" t="n"/>
      <c r="C18" s="6">
        <f>SUM(C6:C17)</f>
        <v/>
      </c>
      <c r="D18" s="6" t="n"/>
      <c r="E18" s="6" t="n"/>
      <c r="F18" s="6" t="n"/>
      <c r="G18" s="6" t="n"/>
    </row>
    <row r="20">
      <c r="A20" s="50" t="inlineStr">
        <is>
          <t>SECTION 2: INTERNATIONAL HORSE REGISTER (list every international horse)</t>
        </is>
      </c>
      <c r="B20" s="53" t="n"/>
      <c r="C20" s="53" t="n"/>
      <c r="D20" s="53" t="n"/>
      <c r="E20" s="53" t="n"/>
      <c r="F20" s="53" t="n"/>
      <c r="G20" s="53" t="n"/>
    </row>
    <row r="21">
      <c r="A21" s="8" t="inlineStr">
        <is>
          <t>Horse Name</t>
        </is>
      </c>
      <c r="B21" s="8" t="inlineStr">
        <is>
          <t>Trainer</t>
        </is>
      </c>
      <c r="C21" s="8" t="inlineStr">
        <is>
          <t>Country</t>
        </is>
      </c>
      <c r="D21" s="8" t="inlineStr">
        <is>
          <t>Competition</t>
        </is>
      </c>
      <c r="E21" s="8" t="inlineStr">
        <is>
          <t>Winner? (Y/N)</t>
        </is>
      </c>
      <c r="F21" s="8" t="inlineStr">
        <is>
          <t>No. of Wins</t>
        </is>
      </c>
      <c r="G21" s="8" t="inlineStr">
        <is>
          <t>Notes</t>
        </is>
      </c>
    </row>
    <row r="22">
      <c r="A22" s="24" t="inlineStr">
        <is>
          <t>Dubai Future (GB)</t>
        </is>
      </c>
      <c r="B22" s="24" t="inlineStr">
        <is>
          <t>Saeed Bin Suroor</t>
        </is>
      </c>
      <c r="C22" s="24" t="inlineStr">
        <is>
          <t>UAE</t>
        </is>
      </c>
      <c r="D22" s="24" t="inlineStr">
        <is>
          <t>Bahrain International Trophy</t>
        </is>
      </c>
      <c r="E22" s="24" t="inlineStr">
        <is>
          <t>Y</t>
        </is>
      </c>
      <c r="F22" s="24" t="n">
        <v>1</v>
      </c>
      <c r="G22" s="9" t="n"/>
    </row>
    <row r="23">
      <c r="A23" s="24" t="inlineStr">
        <is>
          <t>Passion And Glory (IRE)</t>
        </is>
      </c>
      <c r="B23" s="24" t="inlineStr">
        <is>
          <t>Saeed Bin Suroor</t>
        </is>
      </c>
      <c r="C23" s="24" t="inlineStr">
        <is>
          <t>UAE</t>
        </is>
      </c>
      <c r="D23" s="24" t="inlineStr">
        <is>
          <t>Bahrain International Trophy</t>
        </is>
      </c>
      <c r="E23" s="24" t="inlineStr">
        <is>
          <t>N</t>
        </is>
      </c>
      <c r="F23" s="24" t="n"/>
      <c r="G23" s="9" t="n"/>
    </row>
    <row r="24">
      <c r="A24" s="24" t="inlineStr">
        <is>
          <t>Riocorvo (GER)</t>
        </is>
      </c>
      <c r="B24" s="24" t="inlineStr">
        <is>
          <t xml:space="preserve">C Laffon-Parias </t>
        </is>
      </c>
      <c r="C24" s="24" t="inlineStr">
        <is>
          <t>FR</t>
        </is>
      </c>
      <c r="D24" s="24" t="inlineStr">
        <is>
          <t>Bahrain International Trophy</t>
        </is>
      </c>
      <c r="E24" s="24" t="inlineStr">
        <is>
          <t>N</t>
        </is>
      </c>
      <c r="F24" s="24" t="n"/>
      <c r="G24" s="9" t="n"/>
    </row>
    <row r="25">
      <c r="A25" s="24" t="inlineStr">
        <is>
          <t>Magny Cours (USA)</t>
        </is>
      </c>
      <c r="B25" s="24" t="inlineStr">
        <is>
          <t xml:space="preserve">A Fabre </t>
        </is>
      </c>
      <c r="C25" s="24" t="inlineStr">
        <is>
          <t>FR</t>
        </is>
      </c>
      <c r="D25" s="24" t="inlineStr">
        <is>
          <t>Bahrain International Trophy</t>
        </is>
      </c>
      <c r="E25" s="24" t="inlineStr">
        <is>
          <t>N</t>
        </is>
      </c>
      <c r="F25" s="24" t="n"/>
      <c r="G25" s="9" t="n"/>
    </row>
    <row r="26">
      <c r="A26" s="24" t="inlineStr">
        <is>
          <t>Monty (FR)</t>
        </is>
      </c>
      <c r="B26" s="24" t="inlineStr">
        <is>
          <t xml:space="preserve">A Schutz </t>
        </is>
      </c>
      <c r="C26" s="24" t="inlineStr">
        <is>
          <t>FR</t>
        </is>
      </c>
      <c r="D26" s="24" t="inlineStr">
        <is>
          <t>Bahrain International Trophy</t>
        </is>
      </c>
      <c r="E26" s="24" t="inlineStr">
        <is>
          <t>N</t>
        </is>
      </c>
      <c r="F26" s="24" t="n"/>
      <c r="G26" s="9" t="n"/>
    </row>
    <row r="27">
      <c r="A27" s="24" t="inlineStr">
        <is>
          <t>King David (DEN)</t>
        </is>
      </c>
      <c r="B27" s="24" t="inlineStr">
        <is>
          <t xml:space="preserve">Niels Petersen </t>
        </is>
      </c>
      <c r="C27" s="24" t="inlineStr">
        <is>
          <t>NOR</t>
        </is>
      </c>
      <c r="D27" s="24" t="inlineStr">
        <is>
          <t>Bahrain International Trophy</t>
        </is>
      </c>
      <c r="E27" s="24" t="inlineStr">
        <is>
          <t>N</t>
        </is>
      </c>
      <c r="F27" s="24" t="n"/>
      <c r="G27" s="9" t="n"/>
    </row>
    <row r="28">
      <c r="A28" s="24" t="inlineStr">
        <is>
          <t>Insinuendo (IRE)</t>
        </is>
      </c>
      <c r="B28" s="24" t="inlineStr">
        <is>
          <t xml:space="preserve">W McCreery </t>
        </is>
      </c>
      <c r="C28" s="24" t="inlineStr">
        <is>
          <t>IRE</t>
        </is>
      </c>
      <c r="D28" s="24" t="inlineStr">
        <is>
          <t>Bahrain International Trophy</t>
        </is>
      </c>
      <c r="E28" s="24" t="inlineStr">
        <is>
          <t>N</t>
        </is>
      </c>
      <c r="F28" s="24" t="n"/>
      <c r="G28" s="9" t="n"/>
    </row>
    <row r="29">
      <c r="A29" s="24" t="inlineStr">
        <is>
          <t>Royal Fleet (GB)</t>
        </is>
      </c>
      <c r="B29" s="24" t="inlineStr">
        <is>
          <t xml:space="preserve">Charlie Appleby </t>
        </is>
      </c>
      <c r="C29" s="24" t="inlineStr">
        <is>
          <t>UAE</t>
        </is>
      </c>
      <c r="D29" s="24" t="inlineStr">
        <is>
          <t>Bahrain International Trophy</t>
        </is>
      </c>
      <c r="E29" s="24" t="inlineStr">
        <is>
          <t>N</t>
        </is>
      </c>
      <c r="F29" s="24" t="n"/>
      <c r="G29" s="9" t="n"/>
    </row>
    <row r="30">
      <c r="A30" s="24" t="inlineStr">
        <is>
          <t>Lucander (IRE)</t>
        </is>
      </c>
      <c r="B30" s="24" t="inlineStr">
        <is>
          <t>George Baker</t>
        </is>
      </c>
      <c r="C30" s="24" t="inlineStr">
        <is>
          <t>GB</t>
        </is>
      </c>
      <c r="D30" s="24" t="inlineStr">
        <is>
          <t>Baharain Turf Series + HH Shaikh Nasser Cup</t>
        </is>
      </c>
      <c r="E30" s="24" t="inlineStr">
        <is>
          <t>Y</t>
        </is>
      </c>
      <c r="F30" s="24" t="n">
        <v>2</v>
      </c>
      <c r="G30" s="24" t="inlineStr">
        <is>
          <t>Dual Winner</t>
        </is>
      </c>
    </row>
    <row r="31">
      <c r="A31" s="24" t="inlineStr">
        <is>
          <t>Box To Box (IRE)</t>
        </is>
      </c>
      <c r="B31" s="24" t="inlineStr">
        <is>
          <t>Hugo Plamer</t>
        </is>
      </c>
      <c r="C31" s="24" t="inlineStr">
        <is>
          <t>GB</t>
        </is>
      </c>
      <c r="D31" s="24" t="inlineStr">
        <is>
          <t>Baharain Turf Series</t>
        </is>
      </c>
      <c r="E31" s="24" t="inlineStr">
        <is>
          <t>N</t>
        </is>
      </c>
      <c r="F31" s="24" t="n"/>
      <c r="G31" s="24" t="n"/>
    </row>
    <row r="32">
      <c r="A32" s="24" t="inlineStr">
        <is>
          <t>What's The Story (GB)</t>
        </is>
      </c>
      <c r="B32" s="25" t="inlineStr">
        <is>
          <t xml:space="preserve">Keith Dalgleish </t>
        </is>
      </c>
      <c r="C32" s="24" t="inlineStr">
        <is>
          <t>GB</t>
        </is>
      </c>
      <c r="D32" s="24" t="inlineStr">
        <is>
          <t>Baharain Turf Series</t>
        </is>
      </c>
      <c r="E32" s="24" t="inlineStr">
        <is>
          <t>N</t>
        </is>
      </c>
      <c r="F32" s="24" t="n"/>
      <c r="G32" s="24" t="n"/>
    </row>
    <row r="33">
      <c r="A33" s="24" t="inlineStr">
        <is>
          <t>Marie's Diamond  (IRE)</t>
        </is>
      </c>
      <c r="B33" s="24" t="inlineStr">
        <is>
          <t>Roger Fell</t>
        </is>
      </c>
      <c r="C33" s="24" t="inlineStr">
        <is>
          <t>GB</t>
        </is>
      </c>
      <c r="D33" s="24" t="inlineStr">
        <is>
          <t>Baharain Turf Series</t>
        </is>
      </c>
      <c r="E33" s="24" t="inlineStr">
        <is>
          <t>N</t>
        </is>
      </c>
      <c r="F33" s="24" t="n"/>
      <c r="G33" s="24" t="n"/>
    </row>
    <row r="34">
      <c r="A34" s="24" t="inlineStr">
        <is>
          <t>Inigo Jones (GB)</t>
        </is>
      </c>
      <c r="B34" s="24" t="inlineStr">
        <is>
          <t xml:space="preserve">Jamie Osborne </t>
        </is>
      </c>
      <c r="C34" s="24" t="inlineStr">
        <is>
          <t>GB</t>
        </is>
      </c>
      <c r="D34" s="24" t="inlineStr">
        <is>
          <t>Baharain Turf Series</t>
        </is>
      </c>
      <c r="E34" s="24" t="inlineStr">
        <is>
          <t>Y</t>
        </is>
      </c>
      <c r="F34" s="24" t="n">
        <v>1</v>
      </c>
      <c r="G34" s="24" t="n"/>
    </row>
    <row r="35">
      <c r="A35" s="24" t="inlineStr">
        <is>
          <t>Chianti (FR)</t>
        </is>
      </c>
      <c r="B35" s="24" t="inlineStr">
        <is>
          <t xml:space="preserve">Niels Petersen </t>
        </is>
      </c>
      <c r="C35" s="24" t="inlineStr">
        <is>
          <t>NOR</t>
        </is>
      </c>
      <c r="D35" s="24" t="inlineStr">
        <is>
          <t>Baharain Turf Series</t>
        </is>
      </c>
      <c r="E35" s="24" t="inlineStr">
        <is>
          <t>N</t>
        </is>
      </c>
      <c r="F35" s="24" t="n"/>
      <c r="G35" s="24" t="n"/>
    </row>
    <row r="36">
      <c r="A36" s="24" t="inlineStr">
        <is>
          <t>Commonsensical (GB)</t>
        </is>
      </c>
      <c r="B36" s="24" t="inlineStr">
        <is>
          <t>Hugo Plamer</t>
        </is>
      </c>
      <c r="C36" s="24" t="inlineStr">
        <is>
          <t>GB</t>
        </is>
      </c>
      <c r="D36" s="24" t="inlineStr">
        <is>
          <t>Baharain Turf Series</t>
        </is>
      </c>
      <c r="E36" s="24" t="inlineStr">
        <is>
          <t>N</t>
        </is>
      </c>
      <c r="F36" s="24" t="n"/>
      <c r="G36" s="24" t="n"/>
    </row>
    <row r="37">
      <c r="A37" s="24" t="inlineStr">
        <is>
          <t>Digital (IRE)</t>
        </is>
      </c>
      <c r="B37" s="24" t="inlineStr">
        <is>
          <t>Roger Fell</t>
        </is>
      </c>
      <c r="C37" s="24" t="inlineStr">
        <is>
          <t>GB</t>
        </is>
      </c>
      <c r="D37" s="24" t="inlineStr">
        <is>
          <t>Baharain Turf Series</t>
        </is>
      </c>
      <c r="E37" s="24" t="inlineStr">
        <is>
          <t>N</t>
        </is>
      </c>
      <c r="F37" s="24" t="n"/>
      <c r="G37" s="24" t="n"/>
    </row>
    <row r="38">
      <c r="A38" s="24" t="inlineStr">
        <is>
          <t>Get It (GB)</t>
        </is>
      </c>
      <c r="B38" s="24" t="inlineStr">
        <is>
          <t>George Baker</t>
        </is>
      </c>
      <c r="C38" s="24" t="inlineStr">
        <is>
          <t>GB</t>
        </is>
      </c>
      <c r="D38" s="24" t="inlineStr">
        <is>
          <t>Baharain Turf Series</t>
        </is>
      </c>
      <c r="E38" s="24" t="inlineStr">
        <is>
          <t>Y</t>
        </is>
      </c>
      <c r="F38" s="24" t="n">
        <v>1</v>
      </c>
      <c r="G38" s="24" t="n"/>
    </row>
    <row r="39">
      <c r="A39" s="24" t="inlineStr">
        <is>
          <t>King Of Stars (IRE)</t>
        </is>
      </c>
      <c r="B39" s="24" t="inlineStr">
        <is>
          <t>Micheal Appleby</t>
        </is>
      </c>
      <c r="C39" s="24" t="inlineStr">
        <is>
          <t>GB</t>
        </is>
      </c>
      <c r="D39" s="24" t="inlineStr">
        <is>
          <t>Baharain Turf Series</t>
        </is>
      </c>
      <c r="E39" s="24" t="inlineStr">
        <is>
          <t>N</t>
        </is>
      </c>
      <c r="F39" s="24" t="n"/>
      <c r="G39" s="24" t="n"/>
    </row>
    <row r="40">
      <c r="A40" s="24" t="inlineStr">
        <is>
          <t>Herewegodandy (IRE)</t>
        </is>
      </c>
      <c r="B40" s="24" t="inlineStr">
        <is>
          <t xml:space="preserve">Niels Petersen </t>
        </is>
      </c>
      <c r="C40" s="24" t="inlineStr">
        <is>
          <t>NOR</t>
        </is>
      </c>
      <c r="D40" s="24" t="inlineStr">
        <is>
          <t>Baharain Turf Series</t>
        </is>
      </c>
      <c r="E40" s="24" t="inlineStr">
        <is>
          <t>N</t>
        </is>
      </c>
      <c r="F40" s="24" t="n"/>
      <c r="G40" s="24" t="n"/>
    </row>
    <row r="41">
      <c r="A41" s="24" t="inlineStr">
        <is>
          <t>Soldier's Minute (GB)</t>
        </is>
      </c>
      <c r="B41" s="24" t="inlineStr">
        <is>
          <t xml:space="preserve">Keith Dalgleish </t>
        </is>
      </c>
      <c r="C41" s="24" t="inlineStr">
        <is>
          <t>GB</t>
        </is>
      </c>
      <c r="D41" s="24" t="inlineStr">
        <is>
          <t>Baharain Turf Series</t>
        </is>
      </c>
      <c r="E41" s="24" t="inlineStr">
        <is>
          <t>N</t>
        </is>
      </c>
      <c r="F41" s="24" t="n"/>
      <c r="G41" s="24" t="n"/>
    </row>
    <row r="42">
      <c r="A42" s="24" t="inlineStr">
        <is>
          <t>Khunan (GB)</t>
        </is>
      </c>
      <c r="B42" s="24" t="inlineStr">
        <is>
          <t xml:space="preserve">Richard Fahey </t>
        </is>
      </c>
      <c r="C42" s="24" t="inlineStr">
        <is>
          <t>GB</t>
        </is>
      </c>
      <c r="D42" s="24" t="inlineStr">
        <is>
          <t>Baharain Turf Series</t>
        </is>
      </c>
      <c r="E42" s="24" t="inlineStr">
        <is>
          <t>N</t>
        </is>
      </c>
      <c r="F42" s="24" t="n"/>
      <c r="G42" s="24" t="n"/>
    </row>
    <row r="43">
      <c r="A43" s="24" t="inlineStr">
        <is>
          <t>Watchya (GB)</t>
        </is>
      </c>
      <c r="B43" s="24" t="inlineStr">
        <is>
          <t>George Baker</t>
        </is>
      </c>
      <c r="C43" s="24" t="inlineStr">
        <is>
          <t>GB</t>
        </is>
      </c>
      <c r="D43" s="24" t="inlineStr">
        <is>
          <t>Baharain Turf Series</t>
        </is>
      </c>
      <c r="E43" s="24" t="inlineStr">
        <is>
          <t>N</t>
        </is>
      </c>
      <c r="F43" s="24" t="n"/>
      <c r="G43" s="24" t="n"/>
    </row>
    <row r="44">
      <c r="A44" s="24" t="inlineStr">
        <is>
          <t>Warrior Brave (GB)</t>
        </is>
      </c>
      <c r="B44" s="24" t="inlineStr">
        <is>
          <t>Ross O'Sullivan</t>
        </is>
      </c>
      <c r="C44" s="24" t="inlineStr">
        <is>
          <t>IRE</t>
        </is>
      </c>
      <c r="D44" s="24" t="inlineStr">
        <is>
          <t>Baharain Turf Series</t>
        </is>
      </c>
      <c r="E44" s="24" t="inlineStr">
        <is>
          <t>N</t>
        </is>
      </c>
      <c r="F44" s="24" t="n"/>
      <c r="G44" s="24" t="n"/>
    </row>
    <row r="45">
      <c r="A45" s="24" t="inlineStr">
        <is>
          <t>Mr Professor (IRE)</t>
        </is>
      </c>
      <c r="B45" s="24" t="inlineStr">
        <is>
          <t xml:space="preserve">Alice Haynes </t>
        </is>
      </c>
      <c r="C45" s="24" t="inlineStr">
        <is>
          <t>GB</t>
        </is>
      </c>
      <c r="D45" s="24" t="inlineStr">
        <is>
          <t>Baharain Turf Series</t>
        </is>
      </c>
      <c r="E45" s="24" t="inlineStr">
        <is>
          <t>N</t>
        </is>
      </c>
      <c r="F45" s="24" t="n"/>
      <c r="G45" s="24" t="n"/>
    </row>
    <row r="46">
      <c r="A46" s="24" t="inlineStr">
        <is>
          <t>Longbourn (IRE)</t>
        </is>
      </c>
      <c r="B46" s="24" t="inlineStr">
        <is>
          <t>Ross O'Sullivan</t>
        </is>
      </c>
      <c r="C46" s="24" t="inlineStr">
        <is>
          <t>IRE</t>
        </is>
      </c>
      <c r="D46" s="24" t="inlineStr">
        <is>
          <t>Baharain Turf Series</t>
        </is>
      </c>
      <c r="E46" s="24" t="inlineStr">
        <is>
          <t>N</t>
        </is>
      </c>
      <c r="F46" s="24" t="n"/>
      <c r="G46" s="24" t="n"/>
    </row>
    <row r="47">
      <c r="A47" s="25" t="inlineStr">
        <is>
          <t>King Of Qonquest (GB)</t>
        </is>
      </c>
      <c r="B47" s="25" t="inlineStr">
        <is>
          <t>Charlie Appleby</t>
        </is>
      </c>
      <c r="C47" s="25" t="inlineStr">
        <is>
          <t>UAE</t>
        </is>
      </c>
      <c r="D47" s="24" t="inlineStr">
        <is>
          <t>Baharain Turf Series</t>
        </is>
      </c>
      <c r="E47" s="24" t="inlineStr">
        <is>
          <t>Y</t>
        </is>
      </c>
      <c r="F47" s="24" t="n">
        <v>1</v>
      </c>
      <c r="G47" s="24" t="n"/>
    </row>
    <row r="48">
      <c r="A48" s="34" t="inlineStr">
        <is>
          <t>Nomadic Empire (IRE)</t>
        </is>
      </c>
      <c r="B48" s="34" t="inlineStr">
        <is>
          <t>David O'Meara</t>
        </is>
      </c>
      <c r="C48" s="34" t="inlineStr">
        <is>
          <t>GB</t>
        </is>
      </c>
      <c r="D48" s="34" t="inlineStr">
        <is>
          <t>Baharain Turf Series</t>
        </is>
      </c>
      <c r="E48" s="34" t="inlineStr">
        <is>
          <t>Y</t>
        </is>
      </c>
      <c r="F48" s="34" t="n">
        <v>1</v>
      </c>
      <c r="G48" s="32" t="n"/>
    </row>
    <row r="49">
      <c r="A49" s="34" t="inlineStr">
        <is>
          <t>Knight Of Honour (IRE)</t>
        </is>
      </c>
      <c r="B49" s="34" t="inlineStr">
        <is>
          <t xml:space="preserve">Richard Fahey </t>
        </is>
      </c>
      <c r="C49" s="34" t="inlineStr">
        <is>
          <t>GB</t>
        </is>
      </c>
      <c r="D49" s="34" t="inlineStr">
        <is>
          <t>Baharain Turf Series</t>
        </is>
      </c>
      <c r="E49" s="34" t="inlineStr">
        <is>
          <t>Y</t>
        </is>
      </c>
      <c r="F49" s="34" t="n">
        <v>1</v>
      </c>
      <c r="G49" s="32" t="n"/>
    </row>
    <row r="50">
      <c r="A50" s="24" t="inlineStr">
        <is>
          <t>Warren Point (GB)</t>
        </is>
      </c>
      <c r="B50" s="24" t="inlineStr">
        <is>
          <t xml:space="preserve">Charlie Appleby </t>
        </is>
      </c>
      <c r="C50" s="24" t="inlineStr">
        <is>
          <t>UAE</t>
        </is>
      </c>
      <c r="D50" s="24" t="inlineStr">
        <is>
          <t>Crown Prince Cup</t>
        </is>
      </c>
      <c r="E50" s="24" t="inlineStr">
        <is>
          <t>Y</t>
        </is>
      </c>
      <c r="F50" s="24" t="n">
        <v>1</v>
      </c>
      <c r="G50" s="24" t="n"/>
    </row>
    <row r="51">
      <c r="A51" s="24" t="inlineStr">
        <is>
          <t>Modern News (GB)</t>
        </is>
      </c>
      <c r="B51" s="24" t="inlineStr">
        <is>
          <t xml:space="preserve">Charlie Appleby </t>
        </is>
      </c>
      <c r="C51" s="24" t="inlineStr">
        <is>
          <t>UAE</t>
        </is>
      </c>
      <c r="D51" s="24" t="inlineStr">
        <is>
          <t>Al Methaq Mile</t>
        </is>
      </c>
      <c r="E51" s="24" t="inlineStr">
        <is>
          <t>N</t>
        </is>
      </c>
      <c r="F51" s="24" t="n"/>
      <c r="G51" s="24" t="n"/>
    </row>
    <row r="52">
      <c r="A52" s="25" t="inlineStr">
        <is>
          <t>Passion And Glory (IRE)</t>
        </is>
      </c>
      <c r="B52" s="25" t="inlineStr">
        <is>
          <t>Saeed Bin Suroor</t>
        </is>
      </c>
      <c r="C52" s="25" t="inlineStr">
        <is>
          <t>UAE</t>
        </is>
      </c>
      <c r="D52" s="25" t="inlineStr">
        <is>
          <t>King's Cup</t>
        </is>
      </c>
      <c r="E52" s="25" t="inlineStr">
        <is>
          <t>Y</t>
        </is>
      </c>
      <c r="F52" s="25" t="n">
        <v>1</v>
      </c>
      <c r="G52" s="24" t="n"/>
    </row>
    <row r="53">
      <c r="A53" s="24" t="inlineStr">
        <is>
          <t>First Ruler (GB)</t>
        </is>
      </c>
      <c r="B53" s="24" t="inlineStr">
        <is>
          <t xml:space="preserve">Charlie Appleby </t>
        </is>
      </c>
      <c r="C53" s="24" t="inlineStr">
        <is>
          <t>UAE</t>
        </is>
      </c>
      <c r="D53" s="25" t="inlineStr">
        <is>
          <t>King's Cup</t>
        </is>
      </c>
      <c r="E53" s="24" t="inlineStr">
        <is>
          <t>N</t>
        </is>
      </c>
      <c r="F53" s="24" t="n"/>
      <c r="G53" s="24" t="n"/>
    </row>
    <row r="54">
      <c r="A54" s="34" t="n"/>
      <c r="B54" s="34" t="n"/>
      <c r="C54" s="34" t="n"/>
      <c r="D54" s="34" t="n"/>
      <c r="E54" s="34" t="n"/>
      <c r="F54" s="34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6" t="inlineStr">
        <is>
          <t>TOTALS:</t>
        </is>
      </c>
      <c r="B56" s="6" t="n"/>
      <c r="C56" s="6" t="n"/>
      <c r="D56" s="6" t="n"/>
      <c r="E56" s="6">
        <f>COUNTIF(E22:E55,"Y")</f>
        <v/>
      </c>
      <c r="F56" s="6">
        <f>SUM(F22:F55)</f>
        <v/>
      </c>
      <c r="G56" s="6" t="n"/>
    </row>
    <row r="58">
      <c r="A58" s="50" t="inlineStr">
        <is>
          <t>SECTION 3: INTERNATIONAL WINNERS</t>
        </is>
      </c>
      <c r="B58" s="53" t="n"/>
      <c r="C58" s="53" t="n"/>
      <c r="D58" s="53" t="n"/>
      <c r="E58" s="53" t="n"/>
      <c r="F58" s="53" t="n"/>
      <c r="G58" s="53" t="n"/>
    </row>
    <row r="59">
      <c r="A59" s="8" t="inlineStr">
        <is>
          <t>Horse</t>
        </is>
      </c>
      <c r="B59" s="8" t="inlineStr">
        <is>
          <t>Trainer</t>
        </is>
      </c>
      <c r="C59" s="8" t="inlineStr">
        <is>
          <t>Country</t>
        </is>
      </c>
      <c r="D59" s="8" t="inlineStr">
        <is>
          <t>Race</t>
        </is>
      </c>
      <c r="E59" s="8" t="inlineStr">
        <is>
          <t>Date</t>
        </is>
      </c>
      <c r="F59" s="8" t="inlineStr">
        <is>
          <t>Win # for Horse</t>
        </is>
      </c>
      <c r="G59" s="8" t="inlineStr">
        <is>
          <t>Notes</t>
        </is>
      </c>
    </row>
    <row r="60">
      <c r="A60" s="24" t="inlineStr">
        <is>
          <t>Dubai Future (GB)</t>
        </is>
      </c>
      <c r="B60" s="24" t="inlineStr">
        <is>
          <t>Saeed Bin Suroor</t>
        </is>
      </c>
      <c r="C60" s="24" t="inlineStr">
        <is>
          <t>UAE</t>
        </is>
      </c>
      <c r="D60" s="24" t="inlineStr">
        <is>
          <t>Bahrain International Trophy</t>
        </is>
      </c>
      <c r="E60" s="29" t="n">
        <v>44883</v>
      </c>
      <c r="F60" s="24" t="n">
        <v>1</v>
      </c>
      <c r="G60" s="9" t="n"/>
    </row>
    <row r="61">
      <c r="A61" s="24" t="inlineStr">
        <is>
          <t>Lucander (IRE)</t>
        </is>
      </c>
      <c r="B61" s="24" t="inlineStr">
        <is>
          <t>George Baker</t>
        </is>
      </c>
      <c r="C61" s="24" t="inlineStr">
        <is>
          <t>GB</t>
        </is>
      </c>
      <c r="D61" s="24" t="inlineStr">
        <is>
          <t>BTS - Al Muharraq Cup</t>
        </is>
      </c>
      <c r="E61" s="29" t="n">
        <v>44904</v>
      </c>
      <c r="F61" s="24" t="n">
        <v>1</v>
      </c>
      <c r="G61" s="9" t="n"/>
    </row>
    <row r="62">
      <c r="A62" s="34" t="inlineStr">
        <is>
          <t>Nomadic Empire (IRE)</t>
        </is>
      </c>
      <c r="B62" s="34" t="inlineStr">
        <is>
          <t>David O'Meara</t>
        </is>
      </c>
      <c r="C62" s="34" t="inlineStr">
        <is>
          <t>GB</t>
        </is>
      </c>
      <c r="D62" s="34" t="inlineStr">
        <is>
          <t>BTS - Al Manama Cup</t>
        </is>
      </c>
      <c r="E62" s="35" t="n">
        <v>44904</v>
      </c>
      <c r="F62" s="34" t="n">
        <v>1</v>
      </c>
      <c r="G62" s="9" t="n"/>
    </row>
    <row r="63">
      <c r="A63" s="24" t="inlineStr">
        <is>
          <t>Inigo Jones (GB)</t>
        </is>
      </c>
      <c r="B63" s="24" t="inlineStr">
        <is>
          <t xml:space="preserve">Jamie Osborne </t>
        </is>
      </c>
      <c r="C63" s="24" t="inlineStr">
        <is>
          <t>GB</t>
        </is>
      </c>
      <c r="D63" s="24" t="inlineStr">
        <is>
          <t>BTS - Al Dana Cup</t>
        </is>
      </c>
      <c r="E63" s="29" t="n">
        <v>44925</v>
      </c>
      <c r="F63" s="24" t="n">
        <v>1</v>
      </c>
      <c r="G63" s="9" t="n"/>
    </row>
    <row r="64">
      <c r="A64" s="34" t="inlineStr">
        <is>
          <t>Knight Of Honour (IRE)</t>
        </is>
      </c>
      <c r="B64" s="34" t="inlineStr">
        <is>
          <t xml:space="preserve">Richard Fahey </t>
        </is>
      </c>
      <c r="C64" s="34" t="inlineStr">
        <is>
          <t>GB</t>
        </is>
      </c>
      <c r="D64" s="34" t="inlineStr">
        <is>
          <t>Class 4 &amp; Maidan 1M2F</t>
        </is>
      </c>
      <c r="E64" s="35" t="n">
        <v>44933</v>
      </c>
      <c r="F64" s="34" t="n">
        <v>1</v>
      </c>
      <c r="G64" s="9" t="n"/>
    </row>
    <row r="65">
      <c r="A65" s="24" t="inlineStr">
        <is>
          <t>Get It (GB)</t>
        </is>
      </c>
      <c r="B65" s="24" t="inlineStr">
        <is>
          <t>George Baker</t>
        </is>
      </c>
      <c r="C65" s="24" t="inlineStr">
        <is>
          <t>GB</t>
        </is>
      </c>
      <c r="D65" s="24" t="inlineStr">
        <is>
          <t>BTS - Al Wasmya Cup</t>
        </is>
      </c>
      <c r="E65" s="29" t="n">
        <v>44939</v>
      </c>
      <c r="F65" s="24" t="n">
        <v>1</v>
      </c>
      <c r="G65" s="9" t="n"/>
    </row>
    <row r="66">
      <c r="A66" s="25" t="inlineStr">
        <is>
          <t>King Of Qonquest (GB)</t>
        </is>
      </c>
      <c r="B66" s="25" t="inlineStr">
        <is>
          <t>Charlie Appleby</t>
        </is>
      </c>
      <c r="C66" s="25" t="inlineStr">
        <is>
          <t>UAE</t>
        </is>
      </c>
      <c r="D66" s="25" t="inlineStr">
        <is>
          <t>BTS - Anchorman Cup</t>
        </is>
      </c>
      <c r="E66" s="33" t="n">
        <v>44960</v>
      </c>
      <c r="F66" s="25" t="n">
        <v>1</v>
      </c>
      <c r="G66" s="9" t="n"/>
    </row>
    <row r="67">
      <c r="A67" s="24" t="inlineStr">
        <is>
          <t>Warren Point (GB)</t>
        </is>
      </c>
      <c r="B67" s="24" t="inlineStr">
        <is>
          <t xml:space="preserve">Charlie Appleby </t>
        </is>
      </c>
      <c r="C67" s="24" t="inlineStr">
        <is>
          <t>UAE</t>
        </is>
      </c>
      <c r="D67" s="24" t="inlineStr">
        <is>
          <t>Crown Prince Cup</t>
        </is>
      </c>
      <c r="E67" s="33" t="n">
        <v>44961</v>
      </c>
      <c r="F67" s="24" t="n">
        <v>1</v>
      </c>
      <c r="G67" s="9" t="n"/>
    </row>
    <row r="68">
      <c r="A68" s="24" t="inlineStr">
        <is>
          <t>Lucander (IRE)</t>
        </is>
      </c>
      <c r="B68" s="24" t="inlineStr">
        <is>
          <t>George Baker</t>
        </is>
      </c>
      <c r="C68" s="24" t="inlineStr">
        <is>
          <t>GB</t>
        </is>
      </c>
      <c r="D68" s="24" t="inlineStr">
        <is>
          <t>HH Shaikh Nasser Cup</t>
        </is>
      </c>
      <c r="E68" s="33" t="n">
        <v>44974</v>
      </c>
      <c r="F68" s="24" t="n">
        <v>1</v>
      </c>
      <c r="G68" s="9" t="n"/>
    </row>
    <row r="69">
      <c r="A69" s="25" t="inlineStr">
        <is>
          <t>Passion And Glory (IRE)</t>
        </is>
      </c>
      <c r="B69" s="25" t="inlineStr">
        <is>
          <t>Saeed Bin Suroor</t>
        </is>
      </c>
      <c r="C69" s="25" t="inlineStr">
        <is>
          <t>UAE</t>
        </is>
      </c>
      <c r="D69" s="25" t="inlineStr">
        <is>
          <t>King's Cup</t>
        </is>
      </c>
      <c r="E69" s="33" t="n">
        <v>44995</v>
      </c>
      <c r="F69" s="25" t="n">
        <v>1</v>
      </c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6">
      <c r="A76" s="46" t="inlineStr">
        <is>
          <t>Total International Wins:</t>
        </is>
      </c>
      <c r="B76" s="53" t="n"/>
      <c r="C76" s="6">
        <f>COUNTA(A60:A74)</f>
        <v/>
      </c>
      <c r="D76" s="7" t="n"/>
      <c r="E76" s="7" t="n"/>
      <c r="F76" s="7" t="n"/>
      <c r="G76" s="7" t="n"/>
    </row>
    <row r="77">
      <c r="A77" s="46" t="inlineStr">
        <is>
          <t>Individual Winning Horses:</t>
        </is>
      </c>
      <c r="B77" s="53" t="n"/>
      <c r="C77" s="6">
        <f>COUNTIF(F60:F74,1)</f>
        <v/>
      </c>
      <c r="D77" s="7" t="n"/>
      <c r="E77" s="7" t="n"/>
      <c r="F77" s="7" t="n"/>
      <c r="G77" s="7" t="n"/>
    </row>
    <row r="78">
      <c r="A78" s="46" t="inlineStr">
        <is>
          <t>Dual+ Winners:</t>
        </is>
      </c>
      <c r="B78" s="53" t="n"/>
      <c r="C78" s="6">
        <f>C76-C77</f>
        <v/>
      </c>
      <c r="D78" s="7" t="n"/>
      <c r="E78" s="7" t="n"/>
      <c r="F78" s="7" t="n"/>
      <c r="G78" s="7" t="n"/>
    </row>
    <row r="80">
      <c r="A80" s="50" t="inlineStr">
        <is>
          <t>SECTION 4: INTERNATIONAL TRAINERS</t>
        </is>
      </c>
      <c r="B80" s="53" t="n"/>
      <c r="C80" s="53" t="n"/>
      <c r="D80" s="53" t="n"/>
      <c r="E80" s="53" t="n"/>
      <c r="F80" s="53" t="n"/>
      <c r="G80" s="53" t="n"/>
    </row>
    <row r="81">
      <c r="A81" s="10" t="inlineStr">
        <is>
          <t>Bahrain International Trophy</t>
        </is>
      </c>
    </row>
    <row r="82">
      <c r="A82" s="8" t="inlineStr">
        <is>
          <t>Trainer</t>
        </is>
      </c>
      <c r="B82" s="8" t="inlineStr">
        <is>
          <t>Country</t>
        </is>
      </c>
      <c r="C82" s="8" t="inlineStr">
        <is>
          <t>Notes</t>
        </is>
      </c>
      <c r="D82" s="8" t="n"/>
      <c r="E82" s="8" t="n"/>
      <c r="F82" s="8" t="n"/>
      <c r="G82" s="8" t="n"/>
    </row>
    <row r="83">
      <c r="A83" s="25" t="inlineStr">
        <is>
          <t>Saeed Bin Suroor</t>
        </is>
      </c>
      <c r="B83" s="24" t="inlineStr">
        <is>
          <t>UAE</t>
        </is>
      </c>
      <c r="C83" s="9" t="n"/>
    </row>
    <row r="84">
      <c r="A84" s="25" t="inlineStr">
        <is>
          <t xml:space="preserve">C Laffon-Parias </t>
        </is>
      </c>
      <c r="B84" s="24" t="inlineStr">
        <is>
          <t>FR</t>
        </is>
      </c>
      <c r="C84" s="9" t="n"/>
    </row>
    <row r="85">
      <c r="A85" s="25" t="inlineStr">
        <is>
          <t xml:space="preserve">A Fabre </t>
        </is>
      </c>
      <c r="B85" s="24" t="inlineStr">
        <is>
          <t>FR</t>
        </is>
      </c>
      <c r="C85" s="9" t="n"/>
    </row>
    <row r="86">
      <c r="A86" s="25" t="inlineStr">
        <is>
          <t xml:space="preserve">A Schutz </t>
        </is>
      </c>
      <c r="B86" s="24" t="inlineStr">
        <is>
          <t>FR</t>
        </is>
      </c>
      <c r="C86" s="9" t="n"/>
    </row>
    <row r="87">
      <c r="A87" s="25" t="inlineStr">
        <is>
          <t xml:space="preserve">Niels Petersen </t>
        </is>
      </c>
      <c r="B87" s="24" t="inlineStr">
        <is>
          <t>NOR</t>
        </is>
      </c>
      <c r="C87" s="9" t="n"/>
    </row>
    <row r="88">
      <c r="A88" s="25" t="inlineStr">
        <is>
          <t xml:space="preserve">W McCreery </t>
        </is>
      </c>
      <c r="B88" s="24" t="inlineStr">
        <is>
          <t>IRE</t>
        </is>
      </c>
      <c r="C88" s="9" t="n"/>
    </row>
    <row r="89">
      <c r="A89" s="25" t="inlineStr">
        <is>
          <t xml:space="preserve">Charlie Appleby </t>
        </is>
      </c>
      <c r="B89" s="24" t="inlineStr">
        <is>
          <t>UAE</t>
        </is>
      </c>
      <c r="C89" s="9" t="n"/>
    </row>
    <row r="90">
      <c r="A90" s="9" t="n"/>
      <c r="B90" s="9" t="n"/>
      <c r="C90" s="9" t="n"/>
    </row>
    <row r="92">
      <c r="A92" s="10" t="inlineStr">
        <is>
          <t>Bahrain Turf Series</t>
        </is>
      </c>
    </row>
    <row r="93">
      <c r="A93" s="8" t="inlineStr">
        <is>
          <t>Trainer</t>
        </is>
      </c>
      <c r="B93" s="8" t="inlineStr">
        <is>
          <t>Country</t>
        </is>
      </c>
      <c r="C93" s="8" t="inlineStr">
        <is>
          <t>Notes</t>
        </is>
      </c>
      <c r="D93" s="8" t="n"/>
      <c r="E93" s="8" t="n"/>
      <c r="F93" s="8" t="n"/>
      <c r="G93" s="8" t="n"/>
    </row>
    <row r="94">
      <c r="A94" s="24" t="inlineStr">
        <is>
          <t>Charlie Appleby</t>
        </is>
      </c>
      <c r="B94" s="24" t="inlineStr">
        <is>
          <t>GB</t>
        </is>
      </c>
      <c r="C94" s="9" t="n"/>
    </row>
    <row r="95">
      <c r="A95" s="24" t="inlineStr">
        <is>
          <t>George Baker</t>
        </is>
      </c>
      <c r="B95" s="24" t="inlineStr">
        <is>
          <t>GB</t>
        </is>
      </c>
      <c r="C95" s="9" t="n"/>
    </row>
    <row r="96">
      <c r="A96" s="24" t="inlineStr">
        <is>
          <t>Hugo Plamer</t>
        </is>
      </c>
      <c r="B96" s="24" t="inlineStr">
        <is>
          <t>GB</t>
        </is>
      </c>
      <c r="C96" s="9" t="n"/>
    </row>
    <row r="97">
      <c r="A97" s="25" t="inlineStr">
        <is>
          <t xml:space="preserve">Keith Dalgleish </t>
        </is>
      </c>
      <c r="B97" s="24" t="inlineStr">
        <is>
          <t>GB</t>
        </is>
      </c>
      <c r="C97" s="9" t="n"/>
    </row>
    <row r="98">
      <c r="A98" s="25" t="inlineStr">
        <is>
          <t>Roger Fell</t>
        </is>
      </c>
      <c r="B98" s="24" t="inlineStr">
        <is>
          <t>GB</t>
        </is>
      </c>
      <c r="C98" s="9" t="n"/>
    </row>
    <row r="99">
      <c r="A99" s="25" t="inlineStr">
        <is>
          <t xml:space="preserve">Jamie Osborne </t>
        </is>
      </c>
      <c r="B99" s="24" t="inlineStr">
        <is>
          <t>GB</t>
        </is>
      </c>
      <c r="C99" s="9" t="n"/>
    </row>
    <row r="100">
      <c r="A100" s="25" t="inlineStr">
        <is>
          <t xml:space="preserve">Niels Petersen </t>
        </is>
      </c>
      <c r="B100" s="24" t="inlineStr">
        <is>
          <t>NOR</t>
        </is>
      </c>
      <c r="C100" s="9" t="n"/>
    </row>
    <row r="101">
      <c r="A101" s="24" t="inlineStr">
        <is>
          <t>Micheal Appleby</t>
        </is>
      </c>
      <c r="B101" s="24" t="inlineStr">
        <is>
          <t>GB</t>
        </is>
      </c>
      <c r="C101" s="9" t="n"/>
    </row>
    <row r="102">
      <c r="A102" s="25" t="inlineStr">
        <is>
          <t xml:space="preserve">Alice Haynes </t>
        </is>
      </c>
      <c r="B102" s="24" t="inlineStr">
        <is>
          <t>GB</t>
        </is>
      </c>
      <c r="C102" s="9" t="n"/>
    </row>
    <row r="103">
      <c r="A103" s="25" t="inlineStr">
        <is>
          <t>Ross O'Sullivan</t>
        </is>
      </c>
      <c r="B103" s="24" t="inlineStr">
        <is>
          <t>IRE</t>
        </is>
      </c>
      <c r="C103" s="9" t="n"/>
    </row>
    <row r="104">
      <c r="A104" s="24" t="inlineStr">
        <is>
          <t xml:space="preserve">Richard Fahey </t>
        </is>
      </c>
      <c r="B104" s="24" t="inlineStr">
        <is>
          <t>GB</t>
        </is>
      </c>
      <c r="C104" s="9" t="n"/>
    </row>
    <row r="105">
      <c r="A105" s="24" t="inlineStr">
        <is>
          <t>David O'Meara</t>
        </is>
      </c>
      <c r="B105" s="24" t="inlineStr">
        <is>
          <t>GB</t>
        </is>
      </c>
      <c r="C105" s="9" t="n"/>
    </row>
    <row r="106">
      <c r="A106" s="9" t="n"/>
      <c r="B106" s="9" t="n"/>
      <c r="C106" s="9" t="n"/>
    </row>
    <row r="107">
      <c r="A107" s="9" t="n"/>
      <c r="B107" s="9" t="n"/>
      <c r="C107" s="9" t="n"/>
    </row>
    <row r="108">
      <c r="A108" s="9" t="n"/>
      <c r="B108" s="9" t="n"/>
      <c r="C108" s="9" t="n"/>
    </row>
    <row r="110">
      <c r="A110" s="6" t="inlineStr">
        <is>
          <t>Total International Trainers:</t>
        </is>
      </c>
      <c r="B110" s="6" t="n"/>
      <c r="C110" s="6" t="n"/>
      <c r="D110" s="6" t="n"/>
      <c r="E110" s="6" t="n"/>
      <c r="F110" s="6" t="n"/>
      <c r="G110" s="6" t="n"/>
    </row>
    <row r="112">
      <c r="A112" s="50" t="inlineStr">
        <is>
          <t>SECTION 5: ADDITIONAL INT'L RACES (HH Shaikh Nasser Cup, Crown Prince Cup, King's Cup, etc.)</t>
        </is>
      </c>
      <c r="B112" s="53" t="n"/>
      <c r="C112" s="53" t="n"/>
      <c r="D112" s="53" t="n"/>
      <c r="E112" s="53" t="n"/>
      <c r="F112" s="53" t="n"/>
      <c r="G112" s="53" t="n"/>
    </row>
    <row r="113">
      <c r="A113" s="8" t="inlineStr">
        <is>
          <t>Race Name</t>
        </is>
      </c>
      <c r="B113" s="8" t="inlineStr">
        <is>
          <t>Horse</t>
        </is>
      </c>
      <c r="C113" s="8" t="inlineStr">
        <is>
          <t>Trainer</t>
        </is>
      </c>
      <c r="D113" s="8" t="inlineStr">
        <is>
          <t>Country</t>
        </is>
      </c>
      <c r="E113" s="8" t="inlineStr">
        <is>
          <t>Date</t>
        </is>
      </c>
      <c r="F113" s="8" t="inlineStr">
        <is>
          <t>Result</t>
        </is>
      </c>
      <c r="G113" s="8" t="inlineStr">
        <is>
          <t>Notes</t>
        </is>
      </c>
    </row>
    <row r="114">
      <c r="A114" s="34" t="inlineStr">
        <is>
          <t>Class 4 &amp; Maidan 1M2F</t>
        </is>
      </c>
      <c r="B114" s="34" t="inlineStr">
        <is>
          <t>Knight Of Honour (IRE)</t>
        </is>
      </c>
      <c r="C114" s="34" t="inlineStr">
        <is>
          <t xml:space="preserve">Richard Fahey </t>
        </is>
      </c>
      <c r="D114" s="34" t="inlineStr">
        <is>
          <t>GB</t>
        </is>
      </c>
      <c r="E114" s="35" t="n">
        <v>44933</v>
      </c>
      <c r="F114" s="35" t="inlineStr">
        <is>
          <t>1st</t>
        </is>
      </c>
      <c r="G114" s="34" t="n"/>
      <c r="H114" s="36" t="n"/>
    </row>
    <row r="115">
      <c r="A115" s="24" t="inlineStr">
        <is>
          <t>Crown Prince Cup</t>
        </is>
      </c>
      <c r="B115" s="24" t="inlineStr">
        <is>
          <t>Warren Point (GB)</t>
        </is>
      </c>
      <c r="C115" s="24" t="inlineStr">
        <is>
          <t xml:space="preserve">Charlie Appleby </t>
        </is>
      </c>
      <c r="D115" s="24" t="inlineStr">
        <is>
          <t>UAE</t>
        </is>
      </c>
      <c r="E115" s="29" t="n">
        <v>44960</v>
      </c>
      <c r="F115" s="33" t="inlineStr">
        <is>
          <t>1st</t>
        </is>
      </c>
      <c r="G115" s="9" t="n"/>
    </row>
    <row r="116">
      <c r="A116" s="24" t="inlineStr">
        <is>
          <t>HH Shaikh Nasser Cup</t>
        </is>
      </c>
      <c r="B116" s="24" t="inlineStr">
        <is>
          <t>Lucander (IRE)</t>
        </is>
      </c>
      <c r="C116" s="24" t="inlineStr">
        <is>
          <t>George Baker</t>
        </is>
      </c>
      <c r="D116" s="24" t="inlineStr">
        <is>
          <t>GB</t>
        </is>
      </c>
      <c r="E116" s="33" t="n">
        <v>44974</v>
      </c>
      <c r="F116" s="33" t="inlineStr">
        <is>
          <t>1st</t>
        </is>
      </c>
      <c r="G116" s="9" t="n"/>
    </row>
    <row r="117">
      <c r="A117" s="24" t="inlineStr">
        <is>
          <t>Al Methaq Mile</t>
        </is>
      </c>
      <c r="B117" s="24" t="inlineStr">
        <is>
          <t>Modern News (GB)</t>
        </is>
      </c>
      <c r="C117" s="24" t="inlineStr">
        <is>
          <t xml:space="preserve">Charlie Appleby </t>
        </is>
      </c>
      <c r="D117" s="24" t="inlineStr">
        <is>
          <t>UAE</t>
        </is>
      </c>
      <c r="E117" s="29" t="n">
        <v>44995</v>
      </c>
      <c r="F117" s="24" t="inlineStr">
        <is>
          <t>10th</t>
        </is>
      </c>
      <c r="G117" s="9" t="n"/>
    </row>
    <row r="118">
      <c r="A118" s="25" t="inlineStr">
        <is>
          <t>King's Cup</t>
        </is>
      </c>
      <c r="B118" s="25" t="inlineStr">
        <is>
          <t>Passion And Glory (IRE)</t>
        </is>
      </c>
      <c r="C118" s="25" t="inlineStr">
        <is>
          <t>Saeed Bin Suroor</t>
        </is>
      </c>
      <c r="D118" s="25" t="inlineStr">
        <is>
          <t>UAE</t>
        </is>
      </c>
      <c r="E118" s="33" t="n">
        <v>44995</v>
      </c>
      <c r="F118" s="25" t="inlineStr">
        <is>
          <t>1st</t>
        </is>
      </c>
      <c r="G118" s="25" t="n"/>
    </row>
    <row r="119">
      <c r="A119" s="24" t="inlineStr">
        <is>
          <t>King's Cup</t>
        </is>
      </c>
      <c r="B119" s="24" t="inlineStr">
        <is>
          <t>First Ruler (GB)</t>
        </is>
      </c>
      <c r="C119" s="24" t="inlineStr">
        <is>
          <t xml:space="preserve">Charlie Appleby </t>
        </is>
      </c>
      <c r="D119" s="24" t="inlineStr">
        <is>
          <t>UAE</t>
        </is>
      </c>
      <c r="E119" s="33" t="n">
        <v>44995</v>
      </c>
      <c r="F119" s="24" t="inlineStr">
        <is>
          <t>2nd</t>
        </is>
      </c>
      <c r="G119" s="9" t="n"/>
    </row>
    <row r="120">
      <c r="A120" s="24" t="n"/>
      <c r="B120" s="25" t="n"/>
      <c r="C120" s="25" t="n"/>
      <c r="D120" s="25" t="n"/>
      <c r="E120" s="25" t="n"/>
      <c r="F120" s="24" t="n"/>
      <c r="G120" s="9" t="n"/>
    </row>
    <row r="121">
      <c r="A121" s="9" t="n"/>
      <c r="B121" s="9" t="n"/>
      <c r="C121" s="9" t="n"/>
      <c r="D121" s="9" t="n"/>
      <c r="E121" s="9" t="n"/>
      <c r="F121" s="9" t="n"/>
      <c r="G121" s="9" t="n"/>
    </row>
    <row r="122">
      <c r="A122" s="9" t="n"/>
      <c r="B122" s="9" t="n"/>
      <c r="C122" s="9" t="n"/>
      <c r="D122" s="9" t="n"/>
      <c r="E122" s="9" t="n"/>
      <c r="F122" s="9" t="n"/>
      <c r="G122" s="9" t="n"/>
    </row>
    <row r="123">
      <c r="A123" s="9" t="n"/>
      <c r="B123" s="9" t="n"/>
      <c r="C123" s="9" t="n"/>
      <c r="D123" s="9" t="n"/>
      <c r="E123" s="9" t="n"/>
      <c r="F123" s="9" t="n"/>
      <c r="G123" s="9" t="n"/>
    </row>
    <row r="124">
      <c r="A124" s="9" t="n"/>
      <c r="B124" s="9" t="n"/>
      <c r="C124" s="9" t="n"/>
      <c r="D124" s="9" t="n"/>
      <c r="E124" s="9" t="n"/>
      <c r="F124" s="9" t="n"/>
      <c r="G124" s="9" t="n"/>
    </row>
  </sheetData>
  <mergeCells count="9">
    <mergeCell ref="A78:B78"/>
    <mergeCell ref="A58:G58"/>
    <mergeCell ref="A1:G1"/>
    <mergeCell ref="A80:G80"/>
    <mergeCell ref="A76:B76"/>
    <mergeCell ref="A4:G4"/>
    <mergeCell ref="A20:G20"/>
    <mergeCell ref="A112:G112"/>
    <mergeCell ref="A77:B77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F9800"/>
    <outlinePr summaryBelow="1" summaryRight="1"/>
    <pageSetUpPr/>
  </sheetPr>
  <dimension ref="A1:G131"/>
  <sheetViews>
    <sheetView topLeftCell="A47" zoomScaleNormal="100" workbookViewId="0">
      <selection activeCell="D57" sqref="D57"/>
    </sheetView>
  </sheetViews>
  <sheetFormatPr baseColWidth="8" defaultColWidth="8.7109375" defaultRowHeight="14.45"/>
  <cols>
    <col width="30" customWidth="1" min="1" max="1"/>
    <col width="22" customWidth="1" min="2" max="2"/>
    <col width="16" customWidth="1" min="3" max="3"/>
    <col width="62.7109375" bestFit="1" customWidth="1" min="4" max="4"/>
    <col width="14" customWidth="1" min="5" max="5"/>
    <col width="18" customWidth="1" min="6" max="6"/>
    <col width="14.28515625" bestFit="1" customWidth="1" min="7" max="7"/>
  </cols>
  <sheetData>
    <row r="1" ht="16.9" customHeight="1">
      <c r="A1" s="48" t="inlineStr">
        <is>
          <t>International Participation — 2023/24 Season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3" t="inlineStr">
        <is>
          <t>BIT</t>
        </is>
      </c>
      <c r="B6" s="3" t="inlineStr">
        <is>
          <t>GB</t>
        </is>
      </c>
      <c r="C6" s="3" t="n">
        <v>3</v>
      </c>
      <c r="D6" s="3" t="n"/>
      <c r="E6" s="3" t="n"/>
      <c r="F6" s="3" t="n"/>
      <c r="G6" s="3" t="n"/>
    </row>
    <row r="7">
      <c r="A7" s="3" t="inlineStr">
        <is>
          <t>BIT</t>
        </is>
      </c>
      <c r="B7" s="3" t="inlineStr">
        <is>
          <t>FR</t>
        </is>
      </c>
      <c r="C7" s="3" t="n">
        <v>2</v>
      </c>
      <c r="D7" s="3" t="n"/>
      <c r="E7" s="3" t="n"/>
      <c r="F7" s="3" t="n"/>
      <c r="G7" s="3" t="n"/>
    </row>
    <row r="8">
      <c r="A8" s="3" t="inlineStr">
        <is>
          <t>BIT</t>
        </is>
      </c>
      <c r="B8" s="3" t="inlineStr">
        <is>
          <t>IRE</t>
        </is>
      </c>
      <c r="C8" s="3" t="n">
        <v>3</v>
      </c>
      <c r="D8" s="3" t="n"/>
      <c r="E8" s="3" t="n"/>
      <c r="F8" s="3" t="n"/>
      <c r="G8" s="3" t="n"/>
    </row>
    <row r="9">
      <c r="A9" s="3" t="inlineStr">
        <is>
          <t>BIT</t>
        </is>
      </c>
      <c r="B9" s="3" t="inlineStr">
        <is>
          <t>UAE</t>
        </is>
      </c>
      <c r="C9" s="3" t="n">
        <v>4</v>
      </c>
      <c r="D9" s="3" t="n"/>
      <c r="E9" s="3" t="n"/>
      <c r="F9" s="3" t="n"/>
      <c r="G9" s="3" t="n"/>
    </row>
    <row r="10">
      <c r="A10" s="3" t="inlineStr">
        <is>
          <t>BTS</t>
        </is>
      </c>
      <c r="B10" s="3" t="inlineStr">
        <is>
          <t>GB</t>
        </is>
      </c>
      <c r="C10" s="3" t="n">
        <v>19</v>
      </c>
      <c r="D10" s="3" t="n"/>
      <c r="E10" s="3" t="n"/>
      <c r="F10" s="3" t="n"/>
      <c r="G10" s="3" t="n"/>
    </row>
    <row r="11">
      <c r="A11" s="3" t="inlineStr">
        <is>
          <t>BTS</t>
        </is>
      </c>
      <c r="B11" s="3" t="inlineStr">
        <is>
          <t>IRE</t>
        </is>
      </c>
      <c r="C11" s="3" t="n">
        <v>2</v>
      </c>
      <c r="D11" s="3" t="n"/>
      <c r="E11" s="3" t="n"/>
      <c r="F11" s="3" t="n"/>
      <c r="G11" s="3" t="n"/>
    </row>
    <row r="12">
      <c r="A12" s="3" t="inlineStr">
        <is>
          <t>Crown Prince Cup</t>
        </is>
      </c>
      <c r="B12" s="3" t="inlineStr">
        <is>
          <t>UAE</t>
        </is>
      </c>
      <c r="C12" s="3" t="n">
        <v>2</v>
      </c>
      <c r="D12" s="3" t="n"/>
      <c r="E12" s="3" t="n"/>
      <c r="F12" s="3" t="n"/>
      <c r="G12" s="3" t="n"/>
    </row>
    <row r="13">
      <c r="A13" s="3" t="inlineStr">
        <is>
          <t>King's Cup</t>
        </is>
      </c>
      <c r="B13" s="3" t="inlineStr">
        <is>
          <t>UAE</t>
        </is>
      </c>
      <c r="C13" s="3" t="n">
        <v>3</v>
      </c>
      <c r="D13" s="3" t="n"/>
      <c r="E13" s="3" t="n"/>
      <c r="F13" s="3" t="n"/>
      <c r="G13" s="3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6" t="inlineStr">
        <is>
          <t>TOTAL</t>
        </is>
      </c>
      <c r="B17" s="6" t="n"/>
      <c r="C17" s="6">
        <f>SUM(C6:C16)</f>
        <v/>
      </c>
      <c r="D17" s="6" t="n"/>
      <c r="E17" s="6" t="n"/>
      <c r="F17" s="6" t="n"/>
      <c r="G17" s="6" t="n"/>
    </row>
    <row r="19">
      <c r="A19" s="50" t="inlineStr">
        <is>
          <t>SECTION 2: INTERNATIONAL HORSE REGISTER (list every international horse)</t>
        </is>
      </c>
      <c r="B19" s="53" t="n"/>
      <c r="C19" s="53" t="n"/>
      <c r="D19" s="53" t="n"/>
      <c r="E19" s="53" t="n"/>
      <c r="F19" s="53" t="n"/>
      <c r="G19" s="53" t="n"/>
    </row>
    <row r="20">
      <c r="A20" s="8" t="inlineStr">
        <is>
          <t>Horse Name</t>
        </is>
      </c>
      <c r="B20" s="8" t="inlineStr">
        <is>
          <t>Trainer</t>
        </is>
      </c>
      <c r="C20" s="8" t="inlineStr">
        <is>
          <t>Country</t>
        </is>
      </c>
      <c r="D20" s="8" t="inlineStr">
        <is>
          <t>Competition</t>
        </is>
      </c>
      <c r="E20" s="8" t="inlineStr">
        <is>
          <t>Winner? (Y/N)</t>
        </is>
      </c>
      <c r="F20" s="8" t="inlineStr">
        <is>
          <t>No. of Wins</t>
        </is>
      </c>
      <c r="G20" s="8" t="inlineStr">
        <is>
          <t>Notes</t>
        </is>
      </c>
    </row>
    <row r="21">
      <c r="A21" s="25" t="inlineStr">
        <is>
          <t>Spirit Dancer (GB)</t>
        </is>
      </c>
      <c r="B21" s="25" t="inlineStr">
        <is>
          <t>Richerd Fahey</t>
        </is>
      </c>
      <c r="C21" s="25" t="inlineStr">
        <is>
          <t>GB</t>
        </is>
      </c>
      <c r="D21" s="25" t="inlineStr">
        <is>
          <t xml:space="preserve">Bahrain International Trophy </t>
        </is>
      </c>
      <c r="E21" s="25" t="inlineStr">
        <is>
          <t>Y</t>
        </is>
      </c>
      <c r="F21" s="24" t="n">
        <v>1</v>
      </c>
      <c r="G21" s="9" t="n"/>
    </row>
    <row r="22">
      <c r="A22" s="25" t="inlineStr">
        <is>
          <t>Israr (GB)</t>
        </is>
      </c>
      <c r="B22" s="25" t="inlineStr">
        <is>
          <t xml:space="preserve">John &amp; Thady Gosden </t>
        </is>
      </c>
      <c r="C22" s="25" t="inlineStr">
        <is>
          <t>UAE</t>
        </is>
      </c>
      <c r="D22" s="25" t="inlineStr">
        <is>
          <t xml:space="preserve">Bahrain International Trophy </t>
        </is>
      </c>
      <c r="E22" s="25" t="inlineStr">
        <is>
          <t>N</t>
        </is>
      </c>
      <c r="F22" s="9" t="n"/>
      <c r="G22" s="9" t="n"/>
    </row>
    <row r="23">
      <c r="A23" s="25" t="inlineStr">
        <is>
          <t>Point Lonsdale (IRE)</t>
        </is>
      </c>
      <c r="B23" s="25" t="inlineStr">
        <is>
          <t>Aidan O'Brain</t>
        </is>
      </c>
      <c r="C23" s="25" t="inlineStr">
        <is>
          <t>IRE</t>
        </is>
      </c>
      <c r="D23" s="25" t="inlineStr">
        <is>
          <t xml:space="preserve">Bahrain International Trophy </t>
        </is>
      </c>
      <c r="E23" s="25" t="inlineStr">
        <is>
          <t>N</t>
        </is>
      </c>
      <c r="F23" s="9" t="n"/>
      <c r="G23" s="9" t="n"/>
    </row>
    <row r="24">
      <c r="A24" s="25" t="inlineStr">
        <is>
          <t>Real World (IRE)</t>
        </is>
      </c>
      <c r="B24" s="25" t="inlineStr">
        <is>
          <t>Saeed Bin Suroor</t>
        </is>
      </c>
      <c r="C24" s="25" t="inlineStr">
        <is>
          <t>UAE</t>
        </is>
      </c>
      <c r="D24" s="25" t="inlineStr">
        <is>
          <t xml:space="preserve">Bahrain International Trophy </t>
        </is>
      </c>
      <c r="E24" s="25" t="inlineStr">
        <is>
          <t>N</t>
        </is>
      </c>
      <c r="F24" s="9" t="n"/>
      <c r="G24" s="9" t="n"/>
    </row>
    <row r="25">
      <c r="A25" s="24" t="inlineStr">
        <is>
          <t>Birr Castle (FR)</t>
        </is>
      </c>
      <c r="B25" s="24" t="inlineStr">
        <is>
          <t>A Fabre</t>
        </is>
      </c>
      <c r="C25" s="24" t="inlineStr">
        <is>
          <t>FR</t>
        </is>
      </c>
      <c r="D25" s="25" t="inlineStr">
        <is>
          <t xml:space="preserve">Bahrain International Trophy </t>
        </is>
      </c>
      <c r="E25" s="25" t="inlineStr">
        <is>
          <t>N</t>
        </is>
      </c>
      <c r="F25" s="9" t="n"/>
      <c r="G25" s="9" t="n"/>
    </row>
    <row r="26">
      <c r="A26" s="24" t="inlineStr">
        <is>
          <t>Astro King (IRE)</t>
        </is>
      </c>
      <c r="B26" s="24" t="inlineStr">
        <is>
          <t xml:space="preserve">Daniel &amp; Claire Kubler </t>
        </is>
      </c>
      <c r="C26" s="24" t="inlineStr">
        <is>
          <t>GB</t>
        </is>
      </c>
      <c r="D26" s="25" t="inlineStr">
        <is>
          <t xml:space="preserve">Bahrain International Trophy </t>
        </is>
      </c>
      <c r="E26" s="25" t="inlineStr">
        <is>
          <t>N</t>
        </is>
      </c>
      <c r="F26" s="9" t="n"/>
      <c r="G26" s="9" t="n"/>
    </row>
    <row r="27">
      <c r="A27" s="24" t="inlineStr">
        <is>
          <t>Nations Pride (IRE)</t>
        </is>
      </c>
      <c r="B27" s="24" t="inlineStr">
        <is>
          <t>Charlie Appleby</t>
        </is>
      </c>
      <c r="C27" s="24" t="inlineStr">
        <is>
          <t>UAE</t>
        </is>
      </c>
      <c r="D27" s="25" t="inlineStr">
        <is>
          <t xml:space="preserve">Bahrain International Trophy </t>
        </is>
      </c>
      <c r="E27" s="25" t="inlineStr">
        <is>
          <t>N</t>
        </is>
      </c>
      <c r="F27" s="9" t="n"/>
      <c r="G27" s="9" t="n"/>
    </row>
    <row r="28">
      <c r="A28" s="24" t="inlineStr">
        <is>
          <t>Above The Curve (USA)</t>
        </is>
      </c>
      <c r="B28" s="24" t="inlineStr">
        <is>
          <t>Joseph O'Brain</t>
        </is>
      </c>
      <c r="C28" s="24" t="inlineStr">
        <is>
          <t>IRE</t>
        </is>
      </c>
      <c r="D28" s="25" t="inlineStr">
        <is>
          <t xml:space="preserve">Bahrain International Trophy </t>
        </is>
      </c>
      <c r="E28" s="25" t="inlineStr">
        <is>
          <t>N</t>
        </is>
      </c>
      <c r="F28" s="9" t="n"/>
      <c r="G28" s="9" t="n"/>
    </row>
    <row r="29">
      <c r="A29" s="24" t="inlineStr">
        <is>
          <t>Marhaba Ya Sanafi (IRE)</t>
        </is>
      </c>
      <c r="B29" s="24" t="inlineStr">
        <is>
          <t>A Schutz</t>
        </is>
      </c>
      <c r="C29" s="24" t="inlineStr">
        <is>
          <t>FR</t>
        </is>
      </c>
      <c r="D29" s="25" t="inlineStr">
        <is>
          <t xml:space="preserve">Bahrain International Trophy </t>
        </is>
      </c>
      <c r="E29" s="25" t="inlineStr">
        <is>
          <t>N</t>
        </is>
      </c>
      <c r="F29" s="9" t="n"/>
      <c r="G29" s="9" t="n"/>
    </row>
    <row r="30">
      <c r="A30" s="24" t="inlineStr">
        <is>
          <t>Highland Avenue (IRE)</t>
        </is>
      </c>
      <c r="B30" s="24" t="inlineStr">
        <is>
          <t>Charlie Appleby</t>
        </is>
      </c>
      <c r="C30" s="24" t="inlineStr">
        <is>
          <t>GB</t>
        </is>
      </c>
      <c r="D30" s="25" t="inlineStr">
        <is>
          <t xml:space="preserve">Bahrain International Trophy </t>
        </is>
      </c>
      <c r="E30" s="25" t="inlineStr">
        <is>
          <t>N</t>
        </is>
      </c>
      <c r="F30" s="9" t="n"/>
      <c r="G30" s="9" t="n"/>
    </row>
    <row r="31">
      <c r="A31" s="24" t="inlineStr">
        <is>
          <t>Dubai Future (IRE)</t>
        </is>
      </c>
      <c r="B31" s="24" t="inlineStr">
        <is>
          <t>Saeed Bin Suroor</t>
        </is>
      </c>
      <c r="C31" s="24" t="inlineStr">
        <is>
          <t>UAE</t>
        </is>
      </c>
      <c r="D31" s="25" t="inlineStr">
        <is>
          <t xml:space="preserve">Bahrain International Trophy </t>
        </is>
      </c>
      <c r="E31" s="25" t="inlineStr">
        <is>
          <t>N</t>
        </is>
      </c>
      <c r="F31" s="9" t="n"/>
      <c r="G31" s="9" t="n"/>
    </row>
    <row r="32">
      <c r="A32" s="24" t="inlineStr">
        <is>
          <t>Layfayette (IRE)</t>
        </is>
      </c>
      <c r="B32" s="24" t="inlineStr">
        <is>
          <t xml:space="preserve">Noel Meade </t>
        </is>
      </c>
      <c r="C32" s="24" t="inlineStr">
        <is>
          <t>IRE</t>
        </is>
      </c>
      <c r="D32" s="25" t="inlineStr">
        <is>
          <t xml:space="preserve">Bahrain International Trophy </t>
        </is>
      </c>
      <c r="E32" s="25" t="inlineStr">
        <is>
          <t>N</t>
        </is>
      </c>
      <c r="F32" s="9" t="n"/>
      <c r="G32" s="9" t="n"/>
    </row>
    <row r="33">
      <c r="A33" s="24" t="inlineStr">
        <is>
          <t>Rocket Rodney (GB)</t>
        </is>
      </c>
      <c r="B33" s="24" t="inlineStr">
        <is>
          <t>Geroge Scott</t>
        </is>
      </c>
      <c r="C33" s="24" t="inlineStr">
        <is>
          <t>GB</t>
        </is>
      </c>
      <c r="D33" s="24" t="inlineStr">
        <is>
          <t>Bahrain Turf Series</t>
        </is>
      </c>
      <c r="E33" s="24" t="inlineStr">
        <is>
          <t>Y</t>
        </is>
      </c>
      <c r="F33" s="24" t="n">
        <v>1</v>
      </c>
      <c r="G33" s="24" t="n"/>
    </row>
    <row r="34">
      <c r="A34" s="24" t="inlineStr">
        <is>
          <t>Brazen Bolt (GB)</t>
        </is>
      </c>
      <c r="B34" s="24" t="inlineStr">
        <is>
          <t>Sean &amp; John Quinn</t>
        </is>
      </c>
      <c r="C34" s="24" t="inlineStr">
        <is>
          <t>GB</t>
        </is>
      </c>
      <c r="D34" s="24" t="inlineStr">
        <is>
          <t>Bahrain Turf Series</t>
        </is>
      </c>
      <c r="E34" s="24" t="inlineStr">
        <is>
          <t>Y</t>
        </is>
      </c>
      <c r="F34" s="24" t="n">
        <v>1</v>
      </c>
      <c r="G34" s="24" t="n"/>
    </row>
    <row r="35">
      <c r="A35" s="24" t="inlineStr">
        <is>
          <t>Anthem National (IRE)</t>
        </is>
      </c>
      <c r="B35" s="24" t="inlineStr">
        <is>
          <t>Phillip Kirby</t>
        </is>
      </c>
      <c r="C35" s="24" t="inlineStr">
        <is>
          <t>GB</t>
        </is>
      </c>
      <c r="D35" s="24" t="inlineStr">
        <is>
          <t>Bahrain Turf Series</t>
        </is>
      </c>
      <c r="E35" s="24" t="inlineStr">
        <is>
          <t>N</t>
        </is>
      </c>
      <c r="F35" s="24" t="n"/>
      <c r="G35" s="24" t="n"/>
    </row>
    <row r="36">
      <c r="A36" s="24" t="inlineStr">
        <is>
          <t>Kiwano (FR)</t>
        </is>
      </c>
      <c r="B36" s="24" t="inlineStr">
        <is>
          <t>George Baker</t>
        </is>
      </c>
      <c r="C36" s="24" t="inlineStr">
        <is>
          <t>GB</t>
        </is>
      </c>
      <c r="D36" s="24" t="inlineStr">
        <is>
          <t>Bahrain Turf Series</t>
        </is>
      </c>
      <c r="E36" s="24" t="inlineStr">
        <is>
          <t>Y</t>
        </is>
      </c>
      <c r="F36" s="24" t="n">
        <v>1</v>
      </c>
      <c r="G36" s="24" t="n"/>
    </row>
    <row r="37">
      <c r="A37" s="24" t="inlineStr">
        <is>
          <t>Get It (GB)</t>
        </is>
      </c>
      <c r="B37" s="24" t="inlineStr">
        <is>
          <t>George Baker</t>
        </is>
      </c>
      <c r="C37" s="24" t="inlineStr">
        <is>
          <t>GB</t>
        </is>
      </c>
      <c r="D37" s="24" t="inlineStr">
        <is>
          <t>Bahrain Turf Series</t>
        </is>
      </c>
      <c r="E37" s="24" t="inlineStr">
        <is>
          <t>N</t>
        </is>
      </c>
      <c r="F37" s="24" t="n"/>
      <c r="G37" s="24" t="n"/>
    </row>
    <row r="38">
      <c r="A38" s="24" t="inlineStr">
        <is>
          <t>Thunder Moor (IRE)</t>
        </is>
      </c>
      <c r="B38" s="24" t="inlineStr">
        <is>
          <t>Geroge Boughey</t>
        </is>
      </c>
      <c r="C38" s="24" t="inlineStr">
        <is>
          <t>GB</t>
        </is>
      </c>
      <c r="D38" s="24" t="inlineStr">
        <is>
          <t>Bahrain Turf Series</t>
        </is>
      </c>
      <c r="E38" s="24" t="inlineStr">
        <is>
          <t>Y</t>
        </is>
      </c>
      <c r="F38" s="24" t="n">
        <v>2</v>
      </c>
      <c r="G38" s="24" t="inlineStr">
        <is>
          <t>DUAL WINNER</t>
        </is>
      </c>
    </row>
    <row r="39">
      <c r="A39" s="24" t="inlineStr">
        <is>
          <t>Warrior Brave (GB)</t>
        </is>
      </c>
      <c r="B39" s="24" t="inlineStr">
        <is>
          <t>Ross O'Sullivan</t>
        </is>
      </c>
      <c r="C39" s="24" t="inlineStr">
        <is>
          <t>IRE</t>
        </is>
      </c>
      <c r="D39" s="24" t="inlineStr">
        <is>
          <t>Bahrain Turf Series</t>
        </is>
      </c>
      <c r="E39" s="24" t="inlineStr">
        <is>
          <t>N</t>
        </is>
      </c>
      <c r="F39" s="24" t="n"/>
      <c r="G39" s="24" t="n"/>
    </row>
    <row r="40">
      <c r="A40" s="24" t="inlineStr">
        <is>
          <t>Roman Dragon (GB)</t>
        </is>
      </c>
      <c r="B40" s="24" t="inlineStr">
        <is>
          <t>Hugo Palmer</t>
        </is>
      </c>
      <c r="C40" s="24" t="inlineStr">
        <is>
          <t>GB</t>
        </is>
      </c>
      <c r="D40" s="24" t="inlineStr">
        <is>
          <t>Bahrain Turf Series</t>
        </is>
      </c>
      <c r="E40" s="24" t="inlineStr">
        <is>
          <t>Y</t>
        </is>
      </c>
      <c r="F40" s="24" t="n">
        <v>1</v>
      </c>
      <c r="G40" s="24" t="n"/>
    </row>
    <row r="41">
      <c r="A41" s="24" t="inlineStr">
        <is>
          <t>Lucander (IRE)</t>
        </is>
      </c>
      <c r="B41" s="24" t="inlineStr">
        <is>
          <t>George Baker</t>
        </is>
      </c>
      <c r="C41" s="24" t="inlineStr">
        <is>
          <t>GB</t>
        </is>
      </c>
      <c r="D41" s="24" t="inlineStr">
        <is>
          <t>Bahrain Turf Series</t>
        </is>
      </c>
      <c r="E41" s="24" t="inlineStr">
        <is>
          <t>Y</t>
        </is>
      </c>
      <c r="F41" s="24" t="n">
        <v>1</v>
      </c>
      <c r="G41" s="24" t="n"/>
    </row>
    <row r="42">
      <c r="A42" s="24" t="inlineStr">
        <is>
          <t>Isle Of Jura (GB)</t>
        </is>
      </c>
      <c r="B42" s="24" t="inlineStr">
        <is>
          <t>Geroge Scott</t>
        </is>
      </c>
      <c r="C42" s="24" t="inlineStr">
        <is>
          <t>GB</t>
        </is>
      </c>
      <c r="D42" s="24" t="inlineStr">
        <is>
          <t>Bahrain Turf Series</t>
        </is>
      </c>
      <c r="E42" s="24" t="inlineStr">
        <is>
          <t>Y</t>
        </is>
      </c>
      <c r="F42" s="24" t="n">
        <v>4</v>
      </c>
      <c r="G42" s="24" t="inlineStr">
        <is>
          <t>Multiple winner</t>
        </is>
      </c>
    </row>
    <row r="43">
      <c r="A43" s="24" t="inlineStr">
        <is>
          <t>Box To Box (IRE)</t>
        </is>
      </c>
      <c r="B43" s="24" t="inlineStr">
        <is>
          <t>Hugo Palmer</t>
        </is>
      </c>
      <c r="C43" s="24" t="inlineStr">
        <is>
          <t>GB</t>
        </is>
      </c>
      <c r="D43" s="24" t="inlineStr">
        <is>
          <t>Bahrain Turf Series</t>
        </is>
      </c>
      <c r="E43" s="24" t="inlineStr">
        <is>
          <t>N</t>
        </is>
      </c>
      <c r="F43" s="24" t="n"/>
      <c r="G43" s="24" t="n"/>
    </row>
    <row r="44">
      <c r="A44" s="24" t="inlineStr">
        <is>
          <t>Parlando (GB)</t>
        </is>
      </c>
      <c r="B44" s="24" t="inlineStr">
        <is>
          <t>Ian Williams</t>
        </is>
      </c>
      <c r="C44" s="24" t="inlineStr">
        <is>
          <t>GB</t>
        </is>
      </c>
      <c r="D44" s="24" t="inlineStr">
        <is>
          <t>Bahrain Turf Series</t>
        </is>
      </c>
      <c r="E44" s="24" t="inlineStr">
        <is>
          <t>Y</t>
        </is>
      </c>
      <c r="F44" s="24" t="n">
        <v>1</v>
      </c>
      <c r="G44" s="28" t="n"/>
    </row>
    <row r="45">
      <c r="A45" s="24" t="inlineStr">
        <is>
          <t>Moktasaab (GB)</t>
        </is>
      </c>
      <c r="B45" s="24" t="inlineStr">
        <is>
          <t>Phil McEnte</t>
        </is>
      </c>
      <c r="C45" s="24" t="inlineStr">
        <is>
          <t>GB</t>
        </is>
      </c>
      <c r="D45" s="24" t="inlineStr">
        <is>
          <t>Bahrain Turf Series</t>
        </is>
      </c>
      <c r="E45" s="24" t="inlineStr">
        <is>
          <t>N</t>
        </is>
      </c>
      <c r="F45" s="24" t="n"/>
      <c r="G45" s="24" t="n"/>
    </row>
    <row r="46">
      <c r="A46" s="24" t="inlineStr">
        <is>
          <t>Slieve Binnian (IRE)</t>
        </is>
      </c>
      <c r="B46" s="24" t="inlineStr">
        <is>
          <t>M Halford</t>
        </is>
      </c>
      <c r="C46" s="24" t="inlineStr">
        <is>
          <t>IRE</t>
        </is>
      </c>
      <c r="D46" s="24" t="inlineStr">
        <is>
          <t>Bahrain Turf Series</t>
        </is>
      </c>
      <c r="E46" s="24" t="inlineStr">
        <is>
          <t>N</t>
        </is>
      </c>
      <c r="F46" s="24" t="n"/>
      <c r="G46" s="24" t="n"/>
    </row>
    <row r="47" ht="15" customHeight="1">
      <c r="A47" s="28" t="inlineStr">
        <is>
          <t>Graignes (FR)</t>
        </is>
      </c>
      <c r="B47" s="24" t="inlineStr">
        <is>
          <t>George Baker</t>
        </is>
      </c>
      <c r="C47" s="24" t="inlineStr">
        <is>
          <t>GB</t>
        </is>
      </c>
      <c r="D47" s="24" t="inlineStr">
        <is>
          <t>Bahrain Turf Series</t>
        </is>
      </c>
      <c r="E47" s="24" t="inlineStr">
        <is>
          <t>N</t>
        </is>
      </c>
      <c r="F47" s="24" t="n"/>
      <c r="G47" s="24" t="n"/>
    </row>
    <row r="48">
      <c r="A48" s="24" t="inlineStr">
        <is>
          <t>Duc De Kent (FR)</t>
        </is>
      </c>
      <c r="B48" s="24" t="inlineStr">
        <is>
          <t>Ian Williams</t>
        </is>
      </c>
      <c r="C48" s="24" t="inlineStr">
        <is>
          <t>GB</t>
        </is>
      </c>
      <c r="D48" s="24" t="inlineStr">
        <is>
          <t>Bahrain Turf Series</t>
        </is>
      </c>
      <c r="E48" s="24" t="inlineStr">
        <is>
          <t>N</t>
        </is>
      </c>
      <c r="F48" s="24" t="n"/>
      <c r="G48" s="24" t="n"/>
    </row>
    <row r="49">
      <c r="A49" s="24" t="inlineStr">
        <is>
          <t>Squealer (IRE)</t>
        </is>
      </c>
      <c r="B49" s="24" t="inlineStr">
        <is>
          <t>Nigel Tinkler</t>
        </is>
      </c>
      <c r="C49" s="24" t="inlineStr">
        <is>
          <t>GB</t>
        </is>
      </c>
      <c r="D49" s="24" t="inlineStr">
        <is>
          <t>Bahrain Turf Series</t>
        </is>
      </c>
      <c r="E49" s="24" t="inlineStr">
        <is>
          <t>N</t>
        </is>
      </c>
      <c r="F49" s="24" t="n"/>
      <c r="G49" s="24" t="n"/>
    </row>
    <row r="50">
      <c r="A50" s="24" t="inlineStr">
        <is>
          <t>Jm Jungle (IRE)</t>
        </is>
      </c>
      <c r="B50" s="24" t="inlineStr">
        <is>
          <t>Sean &amp; John Quinn</t>
        </is>
      </c>
      <c r="C50" s="24" t="inlineStr">
        <is>
          <t>GB</t>
        </is>
      </c>
      <c r="D50" s="24" t="inlineStr">
        <is>
          <t>Bahrain Turf Series</t>
        </is>
      </c>
      <c r="E50" s="24" t="inlineStr">
        <is>
          <t>N</t>
        </is>
      </c>
      <c r="F50" s="24" t="n"/>
      <c r="G50" s="24" t="n"/>
    </row>
    <row r="51">
      <c r="A51" s="24" t="inlineStr">
        <is>
          <t>Simply Sondheim (IRE)</t>
        </is>
      </c>
      <c r="B51" s="24" t="inlineStr">
        <is>
          <t>George Baker</t>
        </is>
      </c>
      <c r="C51" s="24" t="inlineStr">
        <is>
          <t>GB</t>
        </is>
      </c>
      <c r="D51" s="24" t="inlineStr">
        <is>
          <t>Bahrain Turf Series</t>
        </is>
      </c>
      <c r="E51" s="24" t="inlineStr">
        <is>
          <t>N</t>
        </is>
      </c>
      <c r="F51" s="24" t="n"/>
      <c r="G51" s="24" t="n"/>
    </row>
    <row r="52" ht="15" customHeight="1">
      <c r="A52" s="28" t="inlineStr">
        <is>
          <t>Sir Winston (IRE)</t>
        </is>
      </c>
      <c r="B52" s="24" t="inlineStr">
        <is>
          <t>George Baker</t>
        </is>
      </c>
      <c r="C52" s="24" t="inlineStr">
        <is>
          <t>GB</t>
        </is>
      </c>
      <c r="D52" s="24" t="inlineStr">
        <is>
          <t>Bahrain Turf Series</t>
        </is>
      </c>
      <c r="E52" s="24" t="inlineStr">
        <is>
          <t>N</t>
        </is>
      </c>
      <c r="F52" s="24" t="n"/>
      <c r="G52" s="24" t="n"/>
    </row>
    <row r="53">
      <c r="A53" s="24" t="inlineStr">
        <is>
          <t>Danger Alert (GB)</t>
        </is>
      </c>
      <c r="B53" s="24" t="inlineStr">
        <is>
          <t>George Baker</t>
        </is>
      </c>
      <c r="C53" s="24" t="inlineStr">
        <is>
          <t>GB</t>
        </is>
      </c>
      <c r="D53" s="24" t="inlineStr">
        <is>
          <t>Bahrain Turf Series</t>
        </is>
      </c>
      <c r="E53" s="24" t="inlineStr">
        <is>
          <t>N</t>
        </is>
      </c>
      <c r="F53" s="24" t="n"/>
      <c r="G53" s="24" t="n"/>
    </row>
    <row r="54">
      <c r="A54" s="24" t="inlineStr">
        <is>
          <t>Killybegs Warrior (IRE)</t>
        </is>
      </c>
      <c r="B54" s="24" t="inlineStr">
        <is>
          <t>George Baker</t>
        </is>
      </c>
      <c r="C54" s="24" t="inlineStr">
        <is>
          <t>GB</t>
        </is>
      </c>
      <c r="D54" s="24" t="inlineStr">
        <is>
          <t>Bahrain Turf Series</t>
        </is>
      </c>
      <c r="E54" s="24" t="inlineStr">
        <is>
          <t>N</t>
        </is>
      </c>
      <c r="F54" s="24" t="n"/>
      <c r="G54" s="24" t="n"/>
    </row>
    <row r="55">
      <c r="A55" s="24" t="inlineStr">
        <is>
          <t>Local Dynasty (IRE)</t>
        </is>
      </c>
      <c r="B55" s="24" t="inlineStr">
        <is>
          <t>Charlie Appleby</t>
        </is>
      </c>
      <c r="C55" s="24" t="inlineStr">
        <is>
          <t>UAE</t>
        </is>
      </c>
      <c r="D55" s="24" t="inlineStr">
        <is>
          <t>Crown Prince Cup</t>
        </is>
      </c>
      <c r="E55" s="24" t="inlineStr">
        <is>
          <t>N</t>
        </is>
      </c>
      <c r="F55" s="24" t="n"/>
      <c r="G55" s="24" t="n"/>
    </row>
    <row r="56">
      <c r="A56" s="24" t="inlineStr">
        <is>
          <t>Passion And Glory (IRE)</t>
        </is>
      </c>
      <c r="B56" s="24" t="inlineStr">
        <is>
          <t>Saeed Bin Suroor</t>
        </is>
      </c>
      <c r="C56" s="24" t="inlineStr">
        <is>
          <t>UAE</t>
        </is>
      </c>
      <c r="D56" s="24" t="inlineStr">
        <is>
          <t>Crown Prince Cup</t>
        </is>
      </c>
      <c r="E56" s="24" t="inlineStr">
        <is>
          <t>N</t>
        </is>
      </c>
      <c r="F56" s="24" t="n"/>
      <c r="G56" s="24" t="n"/>
    </row>
    <row r="57">
      <c r="A57" s="24" t="inlineStr">
        <is>
          <t>King Of Conquest (GB)</t>
        </is>
      </c>
      <c r="B57" s="24" t="inlineStr">
        <is>
          <t>Charlie Appleby</t>
        </is>
      </c>
      <c r="C57" s="24" t="inlineStr">
        <is>
          <t>UAE</t>
        </is>
      </c>
      <c r="D57" s="24" t="inlineStr">
        <is>
          <t>King's Cup</t>
        </is>
      </c>
      <c r="E57" s="24" t="inlineStr">
        <is>
          <t>N</t>
        </is>
      </c>
      <c r="F57" s="24" t="n"/>
      <c r="G57" s="24" t="n"/>
    </row>
    <row r="58">
      <c r="A58" s="24" t="inlineStr">
        <is>
          <t>Dhahabi (IRE)</t>
        </is>
      </c>
      <c r="B58" s="24" t="inlineStr">
        <is>
          <t>Saeed Bin Suroor</t>
        </is>
      </c>
      <c r="C58" s="24" t="inlineStr">
        <is>
          <t>UAE</t>
        </is>
      </c>
      <c r="D58" s="24" t="inlineStr">
        <is>
          <t>King's Cup</t>
        </is>
      </c>
      <c r="E58" s="24" t="inlineStr">
        <is>
          <t>N</t>
        </is>
      </c>
      <c r="F58" s="24" t="n"/>
      <c r="G58" s="24" t="n"/>
    </row>
    <row r="59">
      <c r="A59" s="24" t="inlineStr">
        <is>
          <t>Passion And Glory (IRE)</t>
        </is>
      </c>
      <c r="B59" s="24" t="inlineStr">
        <is>
          <t>Saeed Bin Suroor</t>
        </is>
      </c>
      <c r="C59" s="24" t="inlineStr">
        <is>
          <t>UAE</t>
        </is>
      </c>
      <c r="D59" s="24" t="inlineStr">
        <is>
          <t>King's Cup</t>
        </is>
      </c>
      <c r="E59" s="24" t="inlineStr">
        <is>
          <t>N</t>
        </is>
      </c>
      <c r="F59" s="24" t="n"/>
      <c r="G59" s="24" t="n"/>
    </row>
    <row r="60">
      <c r="A60" s="6" t="inlineStr">
        <is>
          <t>TOTALS:</t>
        </is>
      </c>
      <c r="B60" s="6" t="n"/>
      <c r="C60" s="6" t="n"/>
      <c r="D60" s="6" t="n"/>
      <c r="E60" s="6">
        <f>COUNTIF(E21:E59,"Y")</f>
        <v/>
      </c>
      <c r="F60" s="6">
        <f>SUM(F21:F59)</f>
        <v/>
      </c>
      <c r="G60" s="6" t="n"/>
    </row>
    <row r="62">
      <c r="A62" s="50" t="inlineStr">
        <is>
          <t>SECTION 3: INTERNATIONAL WINNERS</t>
        </is>
      </c>
      <c r="B62" s="53" t="n"/>
      <c r="C62" s="53" t="n"/>
      <c r="D62" s="53" t="n"/>
      <c r="E62" s="53" t="n"/>
      <c r="F62" s="53" t="n"/>
      <c r="G62" s="53" t="n"/>
    </row>
    <row r="63">
      <c r="A63" s="8" t="inlineStr">
        <is>
          <t>Horse</t>
        </is>
      </c>
      <c r="B63" s="8" t="inlineStr">
        <is>
          <t>Trainer</t>
        </is>
      </c>
      <c r="C63" s="8" t="inlineStr">
        <is>
          <t>Country</t>
        </is>
      </c>
      <c r="D63" s="8" t="inlineStr">
        <is>
          <t>Race</t>
        </is>
      </c>
      <c r="E63" s="8" t="inlineStr">
        <is>
          <t>Date</t>
        </is>
      </c>
      <c r="F63" s="8" t="inlineStr">
        <is>
          <t>Win # for Horse</t>
        </is>
      </c>
      <c r="G63" s="8" t="inlineStr">
        <is>
          <t>Notes</t>
        </is>
      </c>
    </row>
    <row r="64">
      <c r="A64" s="24" t="inlineStr">
        <is>
          <t>Parlando (GB)</t>
        </is>
      </c>
      <c r="B64" s="24" t="inlineStr">
        <is>
          <t>Ian Williams</t>
        </is>
      </c>
      <c r="C64" s="24" t="inlineStr">
        <is>
          <t>GB</t>
        </is>
      </c>
      <c r="D64" s="24" t="inlineStr">
        <is>
          <t>VISION 2030</t>
        </is>
      </c>
      <c r="E64" s="24" t="n"/>
      <c r="F64" s="24" t="n">
        <v>1</v>
      </c>
      <c r="G64" s="27" t="n"/>
    </row>
    <row r="65">
      <c r="A65" s="24" t="inlineStr">
        <is>
          <t>Rocket Rodney (GB)</t>
        </is>
      </c>
      <c r="B65" s="24" t="inlineStr">
        <is>
          <t>Geroge Scott</t>
        </is>
      </c>
      <c r="C65" s="24" t="inlineStr">
        <is>
          <t>GB</t>
        </is>
      </c>
      <c r="D65" s="24" t="inlineStr">
        <is>
          <t>Al Riffa Cup</t>
        </is>
      </c>
      <c r="E65" s="24" t="n"/>
      <c r="F65" s="24" t="n">
        <v>1</v>
      </c>
      <c r="G65" s="9" t="n"/>
    </row>
    <row r="66">
      <c r="A66" s="24" t="inlineStr">
        <is>
          <t>Brazen Bolt (GB)</t>
        </is>
      </c>
      <c r="B66" s="24" t="inlineStr">
        <is>
          <t>Sean &amp; John Quinn</t>
        </is>
      </c>
      <c r="C66" s="24" t="inlineStr">
        <is>
          <t>GB</t>
        </is>
      </c>
      <c r="D66" s="24" t="inlineStr">
        <is>
          <t>Al Wasmiya Cup</t>
        </is>
      </c>
      <c r="E66" s="24" t="n"/>
      <c r="F66" s="24" t="n">
        <v>1</v>
      </c>
      <c r="G66" s="9" t="n"/>
    </row>
    <row r="67">
      <c r="A67" s="24" t="inlineStr">
        <is>
          <t>Kiwano (FR)</t>
        </is>
      </c>
      <c r="B67" s="24" t="inlineStr">
        <is>
          <t>George Baker</t>
        </is>
      </c>
      <c r="C67" s="24" t="inlineStr">
        <is>
          <t>GB</t>
        </is>
      </c>
      <c r="D67" s="24" t="inlineStr">
        <is>
          <t>H.H.SH. HAMDAN BIN NASSER BIN HAMAD AL KHALIFA CUP</t>
        </is>
      </c>
      <c r="E67" s="24" t="n"/>
      <c r="F67" s="24" t="n">
        <v>1</v>
      </c>
      <c r="G67" s="9" t="n"/>
    </row>
    <row r="68">
      <c r="A68" s="24" t="inlineStr">
        <is>
          <t>Thunder Moor (IRE)</t>
        </is>
      </c>
      <c r="B68" s="24" t="inlineStr">
        <is>
          <t>Geroge Boughey</t>
        </is>
      </c>
      <c r="C68" s="24" t="inlineStr">
        <is>
          <t>GB</t>
        </is>
      </c>
      <c r="D68" s="24" t="inlineStr">
        <is>
          <t>HOUSE ME CUP &amp; AL SAKHIR CUP</t>
        </is>
      </c>
      <c r="E68" s="24" t="n"/>
      <c r="F68" s="24" t="n">
        <v>2</v>
      </c>
      <c r="G68" s="24" t="inlineStr">
        <is>
          <t>DUAL WINNER</t>
        </is>
      </c>
    </row>
    <row r="69">
      <c r="A69" s="24" t="inlineStr">
        <is>
          <t>Roman Dragon (GB)</t>
        </is>
      </c>
      <c r="B69" s="24" t="inlineStr">
        <is>
          <t>Hugo Palmer</t>
        </is>
      </c>
      <c r="C69" s="24" t="inlineStr">
        <is>
          <t>GB</t>
        </is>
      </c>
      <c r="D69" s="24" t="inlineStr">
        <is>
          <t>THE HAWAR CUP</t>
        </is>
      </c>
      <c r="E69" s="24" t="n"/>
      <c r="F69" s="24" t="n">
        <v>1</v>
      </c>
      <c r="G69" s="24" t="n"/>
    </row>
    <row r="70">
      <c r="A70" s="24" t="inlineStr">
        <is>
          <t>Lucander (IRE)</t>
        </is>
      </c>
      <c r="B70" s="24" t="inlineStr">
        <is>
          <t>George Baker</t>
        </is>
      </c>
      <c r="C70" s="24" t="inlineStr">
        <is>
          <t>GB</t>
        </is>
      </c>
      <c r="D70" s="24" t="inlineStr">
        <is>
          <t>AL DANA CUP</t>
        </is>
      </c>
      <c r="E70" s="54" t="n">
        <v>45289</v>
      </c>
      <c r="F70" s="24" t="n">
        <v>1</v>
      </c>
      <c r="G70" s="24" t="n"/>
    </row>
    <row r="71">
      <c r="A71" s="24" t="inlineStr">
        <is>
          <t>Isle Of Jura (GB)</t>
        </is>
      </c>
      <c r="B71" s="24" t="inlineStr">
        <is>
          <t>Geroge Scott</t>
        </is>
      </c>
      <c r="C71" s="24" t="inlineStr">
        <is>
          <t>GB</t>
        </is>
      </c>
      <c r="D71" s="24" t="inlineStr">
        <is>
          <t xml:space="preserve">AL MUHARRAQ CUP &amp; CPC &amp; HH Sh Nasser Cup &amp; KC </t>
        </is>
      </c>
      <c r="E71" s="24" t="n"/>
      <c r="F71" s="24" t="n">
        <v>4</v>
      </c>
      <c r="G71" s="24" t="inlineStr">
        <is>
          <t>Multiple winner</t>
        </is>
      </c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9">
      <c r="A79" s="46" t="inlineStr">
        <is>
          <t>Total International Wins:</t>
        </is>
      </c>
      <c r="B79" s="53" t="n"/>
      <c r="C79" s="6">
        <f>COUNTA(A64:A77)</f>
        <v/>
      </c>
      <c r="D79" s="7" t="n"/>
      <c r="E79" s="7" t="n"/>
      <c r="F79" s="7" t="n"/>
      <c r="G79" s="7" t="n"/>
    </row>
    <row r="80">
      <c r="A80" s="46" t="inlineStr">
        <is>
          <t>Individual Winning Horses:</t>
        </is>
      </c>
      <c r="B80" s="53" t="n"/>
      <c r="C80" s="6">
        <f>COUNTIF(F64:F77,1)</f>
        <v/>
      </c>
      <c r="D80" s="7" t="n"/>
      <c r="E80" s="7" t="n"/>
      <c r="F80" s="7" t="n"/>
      <c r="G80" s="7" t="n"/>
    </row>
    <row r="81">
      <c r="A81" s="46" t="inlineStr">
        <is>
          <t>Dual+ Winners:</t>
        </is>
      </c>
      <c r="B81" s="53" t="n"/>
      <c r="C81" s="6">
        <f>C79-C80</f>
        <v/>
      </c>
      <c r="D81" s="7" t="n"/>
      <c r="E81" s="7" t="n"/>
      <c r="F81" s="7" t="n"/>
      <c r="G81" s="7" t="n"/>
    </row>
    <row r="83">
      <c r="A83" s="50" t="inlineStr">
        <is>
          <t>SECTION 4: INTERNATIONAL TRAINERS</t>
        </is>
      </c>
      <c r="B83" s="53" t="n"/>
      <c r="C83" s="53" t="n"/>
      <c r="D83" s="53" t="n"/>
      <c r="E83" s="53" t="n"/>
      <c r="F83" s="53" t="n"/>
      <c r="G83" s="53" t="n"/>
    </row>
    <row r="84">
      <c r="A84" s="10" t="inlineStr">
        <is>
          <t>Bahrain International Trophy</t>
        </is>
      </c>
    </row>
    <row r="85">
      <c r="A85" s="8" t="inlineStr">
        <is>
          <t>Trainer</t>
        </is>
      </c>
      <c r="B85" s="8" t="inlineStr">
        <is>
          <t>Country</t>
        </is>
      </c>
      <c r="C85" s="8" t="inlineStr">
        <is>
          <t>Notes</t>
        </is>
      </c>
      <c r="D85" s="8" t="n"/>
      <c r="E85" s="8" t="n"/>
      <c r="F85" s="8" t="n"/>
      <c r="G85" s="8" t="n"/>
    </row>
    <row r="86">
      <c r="A86" s="25" t="inlineStr">
        <is>
          <t>Richerd Fahey</t>
        </is>
      </c>
      <c r="B86" s="25" t="inlineStr">
        <is>
          <t>GB</t>
        </is>
      </c>
      <c r="C86" s="9" t="n"/>
    </row>
    <row r="87">
      <c r="A87" s="25" t="inlineStr">
        <is>
          <t xml:space="preserve">John &amp; Thady Gosden </t>
        </is>
      </c>
      <c r="B87" s="25" t="inlineStr">
        <is>
          <t>UAE</t>
        </is>
      </c>
      <c r="C87" s="9" t="n"/>
    </row>
    <row r="88">
      <c r="A88" s="25" t="inlineStr">
        <is>
          <t>Aidan O'Brain</t>
        </is>
      </c>
      <c r="B88" s="25" t="inlineStr">
        <is>
          <t>IRE</t>
        </is>
      </c>
      <c r="C88" s="9" t="n"/>
    </row>
    <row r="89">
      <c r="A89" s="25" t="inlineStr">
        <is>
          <t>Saeed Bin Suroor</t>
        </is>
      </c>
      <c r="B89" s="25" t="inlineStr">
        <is>
          <t>UAE</t>
        </is>
      </c>
      <c r="C89" s="9" t="n"/>
    </row>
    <row r="90">
      <c r="A90" s="24" t="inlineStr">
        <is>
          <t>A Fabre</t>
        </is>
      </c>
      <c r="B90" s="24" t="inlineStr">
        <is>
          <t>FR</t>
        </is>
      </c>
      <c r="C90" s="9" t="n"/>
    </row>
    <row r="91">
      <c r="A91" s="24" t="inlineStr">
        <is>
          <t xml:space="preserve">Daniel &amp; Claire Kubler </t>
        </is>
      </c>
      <c r="B91" s="24" t="inlineStr">
        <is>
          <t>GB</t>
        </is>
      </c>
      <c r="C91" s="9" t="n"/>
    </row>
    <row r="92">
      <c r="A92" s="24" t="inlineStr">
        <is>
          <t>Joseph O'Brain</t>
        </is>
      </c>
      <c r="B92" s="24" t="inlineStr">
        <is>
          <t>IRE</t>
        </is>
      </c>
      <c r="C92" s="9" t="n"/>
    </row>
    <row r="93">
      <c r="A93" s="24" t="inlineStr">
        <is>
          <t>A Schutz</t>
        </is>
      </c>
      <c r="B93" s="24" t="inlineStr">
        <is>
          <t>FR</t>
        </is>
      </c>
      <c r="C93" s="9" t="n"/>
    </row>
    <row r="94">
      <c r="A94" s="24" t="inlineStr">
        <is>
          <t>Charlie Appleby</t>
        </is>
      </c>
      <c r="B94" s="24" t="inlineStr">
        <is>
          <t>GB</t>
        </is>
      </c>
      <c r="C94" s="9" t="n"/>
    </row>
    <row r="95">
      <c r="A95" s="24" t="inlineStr">
        <is>
          <t xml:space="preserve">Noel Meade </t>
        </is>
      </c>
      <c r="B95" s="24" t="inlineStr">
        <is>
          <t>IRE</t>
        </is>
      </c>
      <c r="C95" s="9" t="n"/>
    </row>
    <row r="97">
      <c r="A97" s="10" t="inlineStr">
        <is>
          <t>Bahrain Turf Series</t>
        </is>
      </c>
    </row>
    <row r="98">
      <c r="A98" s="8" t="inlineStr">
        <is>
          <t>Trainer</t>
        </is>
      </c>
      <c r="B98" s="8" t="inlineStr">
        <is>
          <t>Country</t>
        </is>
      </c>
      <c r="C98" s="8" t="inlineStr">
        <is>
          <t>Notes</t>
        </is>
      </c>
      <c r="D98" s="8" t="n"/>
      <c r="E98" s="8" t="n"/>
      <c r="F98" s="8" t="n"/>
      <c r="G98" s="8" t="n"/>
    </row>
    <row r="99">
      <c r="A99" s="24" t="inlineStr">
        <is>
          <t>Ian Williams</t>
        </is>
      </c>
      <c r="B99" s="24" t="inlineStr">
        <is>
          <t>GB</t>
        </is>
      </c>
      <c r="C99" s="9" t="n"/>
    </row>
    <row r="100">
      <c r="A100" s="24" t="inlineStr">
        <is>
          <t>Geroge Scott</t>
        </is>
      </c>
      <c r="B100" s="24" t="inlineStr">
        <is>
          <t>GB</t>
        </is>
      </c>
      <c r="C100" s="9" t="n"/>
    </row>
    <row r="101">
      <c r="A101" s="24" t="inlineStr">
        <is>
          <t>Sean &amp; John Quinn</t>
        </is>
      </c>
      <c r="B101" s="24" t="inlineStr">
        <is>
          <t>GB</t>
        </is>
      </c>
      <c r="C101" s="9" t="n"/>
    </row>
    <row r="102">
      <c r="A102" s="24" t="inlineStr">
        <is>
          <t>Phillip Kirby</t>
        </is>
      </c>
      <c r="B102" s="24" t="inlineStr">
        <is>
          <t>GB</t>
        </is>
      </c>
      <c r="C102" s="9" t="n"/>
    </row>
    <row r="103">
      <c r="A103" s="24" t="inlineStr">
        <is>
          <t>Geroge Boughey</t>
        </is>
      </c>
      <c r="B103" s="24" t="inlineStr">
        <is>
          <t>GB</t>
        </is>
      </c>
      <c r="C103" s="9" t="n"/>
    </row>
    <row r="104">
      <c r="A104" s="24" t="inlineStr">
        <is>
          <t>Hugo Palmer</t>
        </is>
      </c>
      <c r="B104" s="24" t="inlineStr">
        <is>
          <t>GB</t>
        </is>
      </c>
      <c r="C104" s="9" t="n"/>
    </row>
    <row r="105">
      <c r="A105" s="24" t="inlineStr">
        <is>
          <t>George Baker</t>
        </is>
      </c>
      <c r="B105" s="24" t="inlineStr">
        <is>
          <t>GB</t>
        </is>
      </c>
      <c r="C105" s="9" t="n"/>
    </row>
    <row r="106">
      <c r="A106" s="24" t="inlineStr">
        <is>
          <t>Nigel Tinkler</t>
        </is>
      </c>
      <c r="B106" s="24" t="inlineStr">
        <is>
          <t>GB</t>
        </is>
      </c>
      <c r="C106" s="9" t="n"/>
    </row>
    <row r="107">
      <c r="A107" s="24" t="inlineStr">
        <is>
          <t>Phil McEnte</t>
        </is>
      </c>
      <c r="B107" s="24" t="inlineStr">
        <is>
          <t>GB</t>
        </is>
      </c>
      <c r="C107" s="9" t="n"/>
    </row>
    <row r="108">
      <c r="A108" s="24" t="inlineStr">
        <is>
          <t>M Halford</t>
        </is>
      </c>
      <c r="B108" s="24" t="inlineStr">
        <is>
          <t>IRE</t>
        </is>
      </c>
      <c r="C108" s="9" t="n"/>
    </row>
    <row r="109">
      <c r="A109" s="24" t="inlineStr">
        <is>
          <t>Ross O'Sullivan</t>
        </is>
      </c>
      <c r="B109" s="24" t="inlineStr">
        <is>
          <t>IRE</t>
        </is>
      </c>
      <c r="C109" s="9" t="n"/>
    </row>
    <row r="110">
      <c r="A110" s="9" t="n"/>
      <c r="B110" s="9" t="n"/>
      <c r="C110" s="9" t="n"/>
    </row>
    <row r="111">
      <c r="A111" s="9" t="n"/>
      <c r="B111" s="9" t="n"/>
      <c r="C111" s="9" t="n"/>
    </row>
    <row r="112">
      <c r="A112" s="9" t="n"/>
      <c r="B112" s="9" t="n"/>
      <c r="C112" s="9" t="n"/>
    </row>
    <row r="113">
      <c r="A113" s="9" t="n"/>
      <c r="B113" s="9" t="n"/>
      <c r="C113" s="9" t="n"/>
    </row>
    <row r="114">
      <c r="A114" s="9" t="n"/>
      <c r="B114" s="9" t="n"/>
      <c r="C114" s="9" t="n"/>
    </row>
    <row r="115">
      <c r="A115" s="9" t="n"/>
      <c r="B115" s="9" t="n"/>
      <c r="C115" s="9" t="n"/>
    </row>
    <row r="117">
      <c r="A117" s="6" t="inlineStr">
        <is>
          <t>Total International Trainers:</t>
        </is>
      </c>
      <c r="B117" s="6" t="n">
        <v>21</v>
      </c>
      <c r="C117" s="6" t="n"/>
      <c r="D117" s="6" t="n"/>
      <c r="E117" s="6" t="n"/>
      <c r="F117" s="6" t="n"/>
      <c r="G117" s="6" t="n"/>
    </row>
    <row r="119">
      <c r="A119" s="50" t="inlineStr">
        <is>
          <t>SECTION 5: ADDITIONAL INT'L RACES (HH Shaikh Nasser Cup, Crown Prince Cup, King's Cup, etc.)</t>
        </is>
      </c>
      <c r="B119" s="53" t="n"/>
      <c r="C119" s="53" t="n"/>
      <c r="D119" s="53" t="n"/>
      <c r="E119" s="53" t="n"/>
      <c r="F119" s="53" t="n"/>
      <c r="G119" s="53" t="n"/>
    </row>
    <row r="120">
      <c r="A120" s="8" t="inlineStr">
        <is>
          <t>Race Name</t>
        </is>
      </c>
      <c r="B120" s="8" t="inlineStr">
        <is>
          <t>Horse</t>
        </is>
      </c>
      <c r="C120" s="8" t="inlineStr">
        <is>
          <t>Trainer</t>
        </is>
      </c>
      <c r="D120" s="8" t="inlineStr">
        <is>
          <t>Country</t>
        </is>
      </c>
      <c r="E120" s="8" t="inlineStr">
        <is>
          <t>Date</t>
        </is>
      </c>
      <c r="F120" s="8" t="inlineStr">
        <is>
          <t>Result</t>
        </is>
      </c>
      <c r="G120" s="8" t="inlineStr">
        <is>
          <t>Notes</t>
        </is>
      </c>
    </row>
    <row r="121">
      <c r="A121" s="24" t="inlineStr">
        <is>
          <t>HH Shaikh Nasser Cup</t>
        </is>
      </c>
      <c r="B121" s="24" t="inlineStr">
        <is>
          <t>Isle Of Jura (GB)</t>
        </is>
      </c>
      <c r="C121" s="24" t="inlineStr">
        <is>
          <t>Geroge Scott</t>
        </is>
      </c>
      <c r="D121" s="24" t="inlineStr">
        <is>
          <t>GB</t>
        </is>
      </c>
      <c r="E121" s="29" t="n">
        <v>45338</v>
      </c>
      <c r="F121" s="24" t="inlineStr">
        <is>
          <t>1st</t>
        </is>
      </c>
      <c r="G121" s="9" t="n"/>
    </row>
    <row r="122">
      <c r="A122" s="24" t="inlineStr">
        <is>
          <t>HH Shaikh Nasser Cup</t>
        </is>
      </c>
      <c r="B122" s="24" t="inlineStr">
        <is>
          <t>Lucander (IRE)</t>
        </is>
      </c>
      <c r="C122" s="24" t="inlineStr">
        <is>
          <t>George Baker</t>
        </is>
      </c>
      <c r="D122" s="24" t="inlineStr">
        <is>
          <t>GB</t>
        </is>
      </c>
      <c r="E122" s="29" t="n">
        <v>45338</v>
      </c>
      <c r="F122" s="24" t="inlineStr">
        <is>
          <t>3rd</t>
        </is>
      </c>
      <c r="G122" s="9" t="n"/>
    </row>
    <row r="123">
      <c r="A123" s="24" t="inlineStr">
        <is>
          <t>Crown Prince Cup</t>
        </is>
      </c>
      <c r="B123" s="24" t="inlineStr">
        <is>
          <t>Isle Of Jura (GB)</t>
        </is>
      </c>
      <c r="C123" s="24" t="inlineStr">
        <is>
          <t>Geroge Scott</t>
        </is>
      </c>
      <c r="D123" s="24" t="inlineStr">
        <is>
          <t>GB</t>
        </is>
      </c>
      <c r="E123" s="29" t="n">
        <v>45324</v>
      </c>
      <c r="F123" s="24" t="inlineStr">
        <is>
          <t>1st</t>
        </is>
      </c>
      <c r="G123" s="9" t="n"/>
    </row>
    <row r="124">
      <c r="A124" s="24" t="inlineStr">
        <is>
          <t>Crown Prince Cup</t>
        </is>
      </c>
      <c r="B124" s="24" t="inlineStr">
        <is>
          <t>Lucander (IRE)</t>
        </is>
      </c>
      <c r="C124" s="24" t="inlineStr">
        <is>
          <t>George Baker</t>
        </is>
      </c>
      <c r="D124" s="24" t="inlineStr">
        <is>
          <t>GB</t>
        </is>
      </c>
      <c r="E124" s="29" t="n">
        <v>45324</v>
      </c>
      <c r="F124" s="24" t="inlineStr">
        <is>
          <t>3rd</t>
        </is>
      </c>
      <c r="G124" s="9" t="n"/>
    </row>
    <row r="125">
      <c r="A125" s="24" t="inlineStr">
        <is>
          <t>Crown Prince Cup</t>
        </is>
      </c>
      <c r="B125" s="24" t="inlineStr">
        <is>
          <t>Local Dynasty (IRE)</t>
        </is>
      </c>
      <c r="C125" s="24" t="inlineStr">
        <is>
          <t>Charlie Appleby</t>
        </is>
      </c>
      <c r="D125" s="24" t="inlineStr">
        <is>
          <t>UAE</t>
        </is>
      </c>
      <c r="E125" s="29" t="n">
        <v>45324</v>
      </c>
      <c r="F125" s="24" t="inlineStr">
        <is>
          <t>5th</t>
        </is>
      </c>
      <c r="G125" s="9" t="n"/>
    </row>
    <row r="126">
      <c r="A126" s="24" t="inlineStr">
        <is>
          <t>Crown Prince Cup</t>
        </is>
      </c>
      <c r="B126" s="24" t="inlineStr">
        <is>
          <t>Passion And Glory (IRE)</t>
        </is>
      </c>
      <c r="C126" s="24" t="inlineStr">
        <is>
          <t>Saeed Bin Suroor</t>
        </is>
      </c>
      <c r="D126" s="24" t="inlineStr">
        <is>
          <t>UAE</t>
        </is>
      </c>
      <c r="E126" s="29" t="n">
        <v>45324</v>
      </c>
      <c r="F126" s="24" t="inlineStr">
        <is>
          <t>6th</t>
        </is>
      </c>
      <c r="G126" s="9" t="n"/>
    </row>
    <row r="127">
      <c r="A127" s="24" t="inlineStr">
        <is>
          <t>King's Cup</t>
        </is>
      </c>
      <c r="B127" s="24" t="inlineStr">
        <is>
          <t>Isle Of Jura (GB)</t>
        </is>
      </c>
      <c r="C127" s="24" t="inlineStr">
        <is>
          <t>Geroge Scott</t>
        </is>
      </c>
      <c r="D127" s="24" t="inlineStr">
        <is>
          <t>GB</t>
        </is>
      </c>
      <c r="E127" s="29" t="n">
        <v>45359</v>
      </c>
      <c r="F127" s="24" t="inlineStr">
        <is>
          <t>1st</t>
        </is>
      </c>
      <c r="G127" s="9" t="n"/>
    </row>
    <row r="128">
      <c r="A128" s="24" t="inlineStr">
        <is>
          <t>King's Cup</t>
        </is>
      </c>
      <c r="B128" s="24" t="inlineStr">
        <is>
          <t>King Of Conquest (GB)</t>
        </is>
      </c>
      <c r="C128" s="24" t="inlineStr">
        <is>
          <t>Charlie Appleby</t>
        </is>
      </c>
      <c r="D128" s="24" t="inlineStr">
        <is>
          <t>UAE</t>
        </is>
      </c>
      <c r="E128" s="29" t="n">
        <v>45359</v>
      </c>
      <c r="F128" s="24" t="inlineStr">
        <is>
          <t>4th</t>
        </is>
      </c>
      <c r="G128" s="9" t="n"/>
    </row>
    <row r="129">
      <c r="A129" s="24" t="inlineStr">
        <is>
          <t>King's Cup</t>
        </is>
      </c>
      <c r="B129" s="24" t="inlineStr">
        <is>
          <t>Lucander (IRE)</t>
        </is>
      </c>
      <c r="C129" s="24" t="inlineStr">
        <is>
          <t>George Baker</t>
        </is>
      </c>
      <c r="D129" s="24" t="inlineStr">
        <is>
          <t>GB</t>
        </is>
      </c>
      <c r="E129" s="29" t="n">
        <v>45359</v>
      </c>
      <c r="F129" s="24" t="inlineStr">
        <is>
          <t>5th</t>
        </is>
      </c>
      <c r="G129" s="9" t="n"/>
    </row>
    <row r="130">
      <c r="A130" s="24" t="inlineStr">
        <is>
          <t>King's Cup</t>
        </is>
      </c>
      <c r="B130" s="24" t="inlineStr">
        <is>
          <t>Dhahabi (IRE)</t>
        </is>
      </c>
      <c r="C130" s="24" t="inlineStr">
        <is>
          <t>Saeed Bin Suroor</t>
        </is>
      </c>
      <c r="D130" s="24" t="inlineStr">
        <is>
          <t>UAE</t>
        </is>
      </c>
      <c r="E130" s="29" t="n">
        <v>45359</v>
      </c>
      <c r="F130" s="24" t="inlineStr">
        <is>
          <t>7th</t>
        </is>
      </c>
      <c r="G130" s="9" t="n"/>
    </row>
    <row r="131">
      <c r="A131" s="24" t="inlineStr">
        <is>
          <t>King's Cup</t>
        </is>
      </c>
      <c r="B131" s="24" t="inlineStr">
        <is>
          <t>Passion And Glory (IRE)</t>
        </is>
      </c>
      <c r="C131" s="24" t="inlineStr">
        <is>
          <t>Saeed Bin Suroor</t>
        </is>
      </c>
      <c r="D131" s="24" t="inlineStr">
        <is>
          <t>UAE</t>
        </is>
      </c>
      <c r="E131" s="29" t="n">
        <v>45359</v>
      </c>
      <c r="F131" s="24" t="inlineStr">
        <is>
          <t>8th</t>
        </is>
      </c>
      <c r="G131" s="9" t="n"/>
    </row>
  </sheetData>
  <mergeCells count="9">
    <mergeCell ref="A119:G119"/>
    <mergeCell ref="A1:G1"/>
    <mergeCell ref="A81:B81"/>
    <mergeCell ref="A83:G83"/>
    <mergeCell ref="A4:G4"/>
    <mergeCell ref="A62:G62"/>
    <mergeCell ref="A80:B80"/>
    <mergeCell ref="A79:B79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F9800"/>
    <outlinePr summaryBelow="1" summaryRight="1"/>
    <pageSetUpPr/>
  </sheetPr>
  <dimension ref="A1:G136"/>
  <sheetViews>
    <sheetView topLeftCell="A44" zoomScaleNormal="100" workbookViewId="0">
      <selection activeCell="D64" sqref="D64"/>
    </sheetView>
  </sheetViews>
  <sheetFormatPr baseColWidth="8" defaultColWidth="8.7109375" defaultRowHeight="14.45"/>
  <cols>
    <col width="57.140625" bestFit="1" customWidth="1" min="1" max="1"/>
    <col width="26.28515625" bestFit="1" customWidth="1" min="2" max="2"/>
    <col width="16" customWidth="1" min="3" max="3"/>
    <col width="35.28515625" customWidth="1" min="4" max="4"/>
    <col width="14" customWidth="1" min="5" max="5"/>
    <col width="18" customWidth="1" min="6" max="6"/>
    <col width="30" customWidth="1" min="7" max="7"/>
  </cols>
  <sheetData>
    <row r="1" ht="16.9" customHeight="1">
      <c r="A1" s="48" t="inlineStr">
        <is>
          <t>International Participation — 2024/25 Season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3" t="inlineStr">
        <is>
          <t>BIT</t>
        </is>
      </c>
      <c r="B6" s="3" t="inlineStr">
        <is>
          <t>GB</t>
        </is>
      </c>
      <c r="C6" s="3" t="n">
        <v>3</v>
      </c>
      <c r="D6" s="3" t="n"/>
      <c r="E6" s="3" t="n"/>
      <c r="F6" s="3" t="n"/>
      <c r="G6" s="3" t="n"/>
    </row>
    <row r="7">
      <c r="A7" s="3" t="inlineStr">
        <is>
          <t>BIT</t>
        </is>
      </c>
      <c r="B7" s="3" t="inlineStr">
        <is>
          <t>FR</t>
        </is>
      </c>
      <c r="C7" s="3" t="n">
        <v>2</v>
      </c>
      <c r="D7" s="3" t="n"/>
      <c r="E7" s="3" t="n"/>
      <c r="F7" s="3" t="n"/>
      <c r="G7" s="3" t="n"/>
    </row>
    <row r="8">
      <c r="A8" s="3" t="inlineStr">
        <is>
          <t>BIT</t>
        </is>
      </c>
      <c r="B8" s="3" t="inlineStr">
        <is>
          <t>JPN</t>
        </is>
      </c>
      <c r="C8" s="3" t="n">
        <v>2</v>
      </c>
      <c r="D8" s="3" t="n"/>
      <c r="E8" s="3" t="n"/>
      <c r="F8" s="3" t="n"/>
      <c r="G8" s="3" t="n"/>
    </row>
    <row r="9">
      <c r="A9" s="3" t="inlineStr">
        <is>
          <t>BIT</t>
        </is>
      </c>
      <c r="B9" s="3" t="inlineStr">
        <is>
          <t>UAE</t>
        </is>
      </c>
      <c r="C9" s="3" t="n">
        <v>1</v>
      </c>
      <c r="D9" s="3" t="n"/>
      <c r="E9" s="3" t="n"/>
      <c r="F9" s="3" t="n"/>
      <c r="G9" s="3" t="n"/>
    </row>
    <row r="10">
      <c r="A10" s="3" t="inlineStr">
        <is>
          <t>BIT</t>
        </is>
      </c>
      <c r="B10" s="3" t="inlineStr">
        <is>
          <t>IRE</t>
        </is>
      </c>
      <c r="C10" s="3" t="n">
        <v>1</v>
      </c>
      <c r="D10" s="3" t="n"/>
      <c r="E10" s="3" t="n"/>
      <c r="F10" s="3" t="n"/>
      <c r="G10" s="3" t="n"/>
    </row>
    <row r="11">
      <c r="A11" s="3" t="inlineStr">
        <is>
          <t>BTS</t>
        </is>
      </c>
      <c r="B11" s="3" t="inlineStr">
        <is>
          <t>GB</t>
        </is>
      </c>
      <c r="C11" s="3" t="n">
        <v>26</v>
      </c>
      <c r="D11" s="3" t="n"/>
      <c r="E11" s="3" t="n"/>
      <c r="F11" s="3" t="n"/>
      <c r="G11" s="3" t="n"/>
    </row>
    <row r="12">
      <c r="A12" s="3" t="inlineStr">
        <is>
          <t>BTS</t>
        </is>
      </c>
      <c r="B12" s="3" t="inlineStr">
        <is>
          <t>IRE</t>
        </is>
      </c>
      <c r="C12" s="3" t="n">
        <v>1</v>
      </c>
      <c r="D12" s="3" t="n"/>
      <c r="E12" s="3" t="n"/>
      <c r="F12" s="3" t="n"/>
      <c r="G12" s="3" t="n"/>
    </row>
    <row r="13">
      <c r="A13" s="3" t="inlineStr">
        <is>
          <t>Crown Prince Cup</t>
        </is>
      </c>
      <c r="B13" s="3" t="inlineStr">
        <is>
          <t>UAE</t>
        </is>
      </c>
      <c r="C13" s="3" t="n">
        <v>1</v>
      </c>
      <c r="D13" s="3" t="n"/>
      <c r="E13" s="3" t="n"/>
      <c r="F13" s="3" t="n"/>
      <c r="G13" s="3" t="n"/>
    </row>
    <row r="14">
      <c r="A14" s="3" t="inlineStr">
        <is>
          <t>HH Shaikh Nasser Cup</t>
        </is>
      </c>
      <c r="B14" s="3" t="inlineStr">
        <is>
          <t>UAE</t>
        </is>
      </c>
      <c r="C14" s="3" t="n">
        <v>1</v>
      </c>
      <c r="D14" s="3" t="n"/>
      <c r="E14" s="3" t="n"/>
      <c r="F14" s="3" t="n"/>
      <c r="G14" s="3" t="n"/>
    </row>
    <row r="15">
      <c r="A15" s="3" t="inlineStr">
        <is>
          <t>King's Cup</t>
        </is>
      </c>
      <c r="B15" s="3" t="inlineStr">
        <is>
          <t>UAE</t>
        </is>
      </c>
      <c r="C15" s="3" t="n">
        <v>3</v>
      </c>
      <c r="D15" s="3" t="n"/>
      <c r="E15" s="3" t="n"/>
      <c r="F15" s="3" t="n"/>
      <c r="G15" s="3" t="n"/>
    </row>
    <row r="16">
      <c r="A16" s="3" t="inlineStr">
        <is>
          <t>King's Cup</t>
        </is>
      </c>
      <c r="B16" s="3" t="inlineStr">
        <is>
          <t>Qatar</t>
        </is>
      </c>
      <c r="C16" s="3" t="n">
        <v>2</v>
      </c>
      <c r="D16" s="3" t="n"/>
      <c r="E16" s="3" t="n"/>
      <c r="F16" s="3" t="n"/>
      <c r="G16" s="3" t="n"/>
    </row>
    <row r="17">
      <c r="A17" s="3" t="inlineStr">
        <is>
          <t>King's Cup</t>
        </is>
      </c>
      <c r="B17" s="3" t="inlineStr">
        <is>
          <t>GB</t>
        </is>
      </c>
      <c r="C17" s="3" t="n">
        <v>1</v>
      </c>
      <c r="D17" s="3" t="n"/>
      <c r="E17" s="3" t="n"/>
      <c r="F17" s="3" t="n"/>
      <c r="G17" s="3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6" t="inlineStr">
        <is>
          <t>TOTAL</t>
        </is>
      </c>
      <c r="B21" s="6" t="n"/>
      <c r="C21" s="6">
        <f>SUM(C6:C20)</f>
        <v/>
      </c>
      <c r="D21" s="6" t="n"/>
      <c r="E21" s="6" t="n"/>
      <c r="F21" s="6" t="n"/>
      <c r="G21" s="6" t="n"/>
    </row>
    <row r="23">
      <c r="A23" s="50" t="inlineStr">
        <is>
          <t>SECTION 2: INTERNATIONAL HORSE REGISTER (list every international horse)</t>
        </is>
      </c>
      <c r="B23" s="53" t="n"/>
      <c r="C23" s="53" t="n"/>
      <c r="D23" s="53" t="n"/>
      <c r="E23" s="53" t="n"/>
      <c r="F23" s="53" t="n"/>
      <c r="G23" s="53" t="n"/>
    </row>
    <row r="24">
      <c r="A24" s="8" t="inlineStr">
        <is>
          <t>Horse Name</t>
        </is>
      </c>
      <c r="B24" s="8" t="inlineStr">
        <is>
          <t>Trainer</t>
        </is>
      </c>
      <c r="C24" s="8" t="inlineStr">
        <is>
          <t>Country</t>
        </is>
      </c>
      <c r="D24" s="8" t="inlineStr">
        <is>
          <t>Competition</t>
        </is>
      </c>
      <c r="E24" s="8" t="inlineStr">
        <is>
          <t>Winner? (Y/N)</t>
        </is>
      </c>
      <c r="F24" s="8" t="inlineStr">
        <is>
          <t>No. of Wins</t>
        </is>
      </c>
      <c r="G24" s="8" t="inlineStr">
        <is>
          <t>Notes</t>
        </is>
      </c>
    </row>
    <row r="25">
      <c r="A25" s="21" t="inlineStr">
        <is>
          <t>Spirit Dancer (GB)</t>
        </is>
      </c>
      <c r="B25" s="21" t="inlineStr">
        <is>
          <t>Richard Fahey</t>
        </is>
      </c>
      <c r="C25" s="21" t="inlineStr">
        <is>
          <t>GB</t>
        </is>
      </c>
      <c r="D25" s="21" t="inlineStr">
        <is>
          <t>Bahrain International Trophy</t>
        </is>
      </c>
      <c r="E25" s="21" t="inlineStr">
        <is>
          <t>Y</t>
        </is>
      </c>
      <c r="F25" s="21" t="n">
        <v>1</v>
      </c>
      <c r="G25" s="21" t="n"/>
    </row>
    <row r="26">
      <c r="A26" s="21" t="inlineStr">
        <is>
          <t>Lead Artist (GB)</t>
        </is>
      </c>
      <c r="B26" s="21" t="inlineStr">
        <is>
          <t>John &amp; Thady Gosden</t>
        </is>
      </c>
      <c r="C26" s="21" t="inlineStr">
        <is>
          <t>GB</t>
        </is>
      </c>
      <c r="D26" s="21" t="inlineStr">
        <is>
          <t>Bahrain International Trophy</t>
        </is>
      </c>
      <c r="E26" s="21" t="inlineStr">
        <is>
          <t>N</t>
        </is>
      </c>
      <c r="F26" s="21" t="n"/>
      <c r="G26" s="21" t="n"/>
    </row>
    <row r="27">
      <c r="A27" s="21" t="inlineStr">
        <is>
          <t>Alflaila (GB)</t>
        </is>
      </c>
      <c r="B27" s="21" t="inlineStr">
        <is>
          <t>Owen Burrows</t>
        </is>
      </c>
      <c r="C27" s="21" t="inlineStr">
        <is>
          <t>GB</t>
        </is>
      </c>
      <c r="D27" s="21" t="inlineStr">
        <is>
          <t>Bahrain International Trophy</t>
        </is>
      </c>
      <c r="E27" s="21" t="inlineStr">
        <is>
          <t>N</t>
        </is>
      </c>
      <c r="F27" s="21" t="n"/>
      <c r="G27" s="21" t="n"/>
    </row>
    <row r="28">
      <c r="A28" s="21" t="inlineStr">
        <is>
          <t>Andromede (FR)</t>
        </is>
      </c>
      <c r="B28" s="21" t="inlineStr">
        <is>
          <t xml:space="preserve">F-H Graffard </t>
        </is>
      </c>
      <c r="C28" s="21" t="inlineStr">
        <is>
          <t>FR</t>
        </is>
      </c>
      <c r="D28" s="21" t="inlineStr">
        <is>
          <t>Bahrain International Trophy</t>
        </is>
      </c>
      <c r="E28" s="21" t="inlineStr">
        <is>
          <t>N</t>
        </is>
      </c>
      <c r="F28" s="21" t="n"/>
      <c r="G28" s="21" t="n"/>
    </row>
    <row r="29">
      <c r="A29" s="21" t="inlineStr">
        <is>
          <t>Yamanin Sympa (JPN)</t>
        </is>
      </c>
      <c r="B29" s="21" t="inlineStr">
        <is>
          <t xml:space="preserve">Takashi Saito </t>
        </is>
      </c>
      <c r="C29" s="21" t="inlineStr">
        <is>
          <t>JPN</t>
        </is>
      </c>
      <c r="D29" s="21" t="inlineStr">
        <is>
          <t>Bahrain International Trophy</t>
        </is>
      </c>
      <c r="E29" s="21" t="inlineStr">
        <is>
          <t>N</t>
        </is>
      </c>
      <c r="F29" s="21" t="n"/>
      <c r="G29" s="21" t="n"/>
    </row>
    <row r="30">
      <c r="A30" s="21" t="inlineStr">
        <is>
          <t>Point Lonsdale (IRE)</t>
        </is>
      </c>
      <c r="B30" s="21" t="inlineStr">
        <is>
          <t>Aidan O'Brain</t>
        </is>
      </c>
      <c r="C30" s="21" t="inlineStr">
        <is>
          <t>IRE</t>
        </is>
      </c>
      <c r="D30" s="21" t="inlineStr">
        <is>
          <t>Bahrain International Trophy</t>
        </is>
      </c>
      <c r="E30" s="21" t="inlineStr">
        <is>
          <t>N</t>
        </is>
      </c>
      <c r="F30" s="21" t="n"/>
      <c r="G30" s="21" t="n"/>
    </row>
    <row r="31">
      <c r="A31" s="21" t="inlineStr">
        <is>
          <t>Killer Ability (JPN)</t>
        </is>
      </c>
      <c r="B31" s="21" t="inlineStr">
        <is>
          <t xml:space="preserve">Takashi Saito </t>
        </is>
      </c>
      <c r="C31" s="21" t="inlineStr">
        <is>
          <t>JPN</t>
        </is>
      </c>
      <c r="D31" s="21" t="inlineStr">
        <is>
          <t>Bahrain International Trophy</t>
        </is>
      </c>
      <c r="E31" s="21" t="inlineStr">
        <is>
          <t>N</t>
        </is>
      </c>
      <c r="F31" s="21" t="n"/>
      <c r="G31" s="21" t="n"/>
    </row>
    <row r="32">
      <c r="A32" s="21" t="inlineStr">
        <is>
          <t>Nations Pride (IRE)</t>
        </is>
      </c>
      <c r="B32" s="21" t="inlineStr">
        <is>
          <t>Charlie Appleby</t>
        </is>
      </c>
      <c r="C32" s="21" t="inlineStr">
        <is>
          <t>UAE</t>
        </is>
      </c>
      <c r="D32" s="21" t="inlineStr">
        <is>
          <t>Bahrain International Trophy</t>
        </is>
      </c>
      <c r="E32" s="21" t="inlineStr">
        <is>
          <t>N</t>
        </is>
      </c>
      <c r="F32" s="21" t="n"/>
      <c r="G32" s="21" t="n"/>
    </row>
    <row r="33">
      <c r="A33" s="21" t="inlineStr">
        <is>
          <t>Calif (GER)</t>
        </is>
      </c>
      <c r="B33" s="21" t="inlineStr">
        <is>
          <t>C &amp; Y Lerner</t>
        </is>
      </c>
      <c r="C33" s="21" t="inlineStr">
        <is>
          <t>FR</t>
        </is>
      </c>
      <c r="D33" s="21" t="inlineStr">
        <is>
          <t>Bahrain International Trophy</t>
        </is>
      </c>
      <c r="E33" s="21" t="inlineStr">
        <is>
          <t>N</t>
        </is>
      </c>
      <c r="F33" s="21" t="n"/>
      <c r="G33" s="21" t="n"/>
    </row>
    <row r="34">
      <c r="A34" s="21" t="inlineStr">
        <is>
          <t>Mr Alan (GB)</t>
        </is>
      </c>
      <c r="B34" s="21" t="inlineStr">
        <is>
          <t>George Boughey</t>
        </is>
      </c>
      <c r="C34" s="21" t="inlineStr">
        <is>
          <t>GB</t>
        </is>
      </c>
      <c r="D34" s="21" t="inlineStr">
        <is>
          <t>Bahrain Turf Series</t>
        </is>
      </c>
      <c r="E34" s="21" t="inlineStr">
        <is>
          <t>N</t>
        </is>
      </c>
      <c r="F34" s="21" t="n"/>
      <c r="G34" s="21" t="n"/>
    </row>
    <row r="35">
      <c r="A35" s="21" t="inlineStr">
        <is>
          <t>Killybegs Warrior (IRE)</t>
        </is>
      </c>
      <c r="B35" s="21" t="inlineStr">
        <is>
          <t>George Baker</t>
        </is>
      </c>
      <c r="C35" s="21" t="inlineStr">
        <is>
          <t>GB</t>
        </is>
      </c>
      <c r="D35" s="21" t="inlineStr">
        <is>
          <t>Bahrain Turf Series</t>
        </is>
      </c>
      <c r="E35" s="21" t="inlineStr">
        <is>
          <t>N</t>
        </is>
      </c>
      <c r="F35" s="21" t="n"/>
      <c r="G35" s="21" t="n"/>
    </row>
    <row r="36">
      <c r="A36" s="21" t="inlineStr">
        <is>
          <t>Snellen (IRE)</t>
        </is>
      </c>
      <c r="B36" s="21" t="inlineStr">
        <is>
          <t>Gavin Cromwell</t>
        </is>
      </c>
      <c r="C36" s="21" t="inlineStr">
        <is>
          <t>IRE</t>
        </is>
      </c>
      <c r="D36" s="21" t="inlineStr">
        <is>
          <t>Bahrain Turf Series</t>
        </is>
      </c>
      <c r="E36" s="21" t="inlineStr">
        <is>
          <t>Y</t>
        </is>
      </c>
      <c r="F36" s="21" t="n">
        <v>1</v>
      </c>
      <c r="G36" s="21" t="n"/>
    </row>
    <row r="37">
      <c r="A37" s="21" t="inlineStr">
        <is>
          <t>Box To Box (IRE)</t>
        </is>
      </c>
      <c r="B37" s="21" t="inlineStr">
        <is>
          <t>Hugo Palmer</t>
        </is>
      </c>
      <c r="C37" s="21" t="inlineStr">
        <is>
          <t>GB</t>
        </is>
      </c>
      <c r="D37" s="21" t="inlineStr">
        <is>
          <t>Bahrain Turf Series</t>
        </is>
      </c>
      <c r="E37" s="21" t="inlineStr">
        <is>
          <t>N</t>
        </is>
      </c>
      <c r="F37" s="21" t="n"/>
      <c r="G37" s="21" t="n"/>
    </row>
    <row r="38">
      <c r="A38" s="21" t="inlineStr">
        <is>
          <t>Whiskey Pete (IRE)</t>
        </is>
      </c>
      <c r="B38" s="21" t="inlineStr">
        <is>
          <t>Nigel Tinkler</t>
        </is>
      </c>
      <c r="C38" s="21" t="inlineStr">
        <is>
          <t>GB</t>
        </is>
      </c>
      <c r="D38" s="21" t="inlineStr">
        <is>
          <t>Bahrain Turf Series</t>
        </is>
      </c>
      <c r="E38" s="21" t="inlineStr">
        <is>
          <t>N</t>
        </is>
      </c>
      <c r="F38" s="21" t="n"/>
      <c r="G38" s="21" t="n"/>
    </row>
    <row r="39">
      <c r="A39" s="21" t="inlineStr">
        <is>
          <t>Majestic (IRE)</t>
        </is>
      </c>
      <c r="B39" s="21" t="inlineStr">
        <is>
          <t>Jack Channon</t>
        </is>
      </c>
      <c r="C39" s="21" t="inlineStr">
        <is>
          <t>GB</t>
        </is>
      </c>
      <c r="D39" s="21" t="inlineStr">
        <is>
          <t>Bahrain Turf Series</t>
        </is>
      </c>
      <c r="E39" s="21" t="inlineStr">
        <is>
          <t>Y</t>
        </is>
      </c>
      <c r="F39" s="21" t="n">
        <v>1</v>
      </c>
      <c r="G39" s="21" t="n"/>
    </row>
    <row r="40">
      <c r="A40" s="21" t="inlineStr">
        <is>
          <t>Get It (GB)</t>
        </is>
      </c>
      <c r="B40" s="21" t="inlineStr">
        <is>
          <t>George Baker</t>
        </is>
      </c>
      <c r="C40" s="21" t="inlineStr">
        <is>
          <t>GB</t>
        </is>
      </c>
      <c r="D40" s="21" t="inlineStr">
        <is>
          <t>Bahrain Turf Series</t>
        </is>
      </c>
      <c r="E40" s="21" t="inlineStr">
        <is>
          <t>N</t>
        </is>
      </c>
      <c r="F40" s="21" t="n"/>
      <c r="G40" s="21" t="n"/>
    </row>
    <row r="41">
      <c r="A41" s="21" t="inlineStr">
        <is>
          <t>Walbank (IRE)</t>
        </is>
      </c>
      <c r="B41" s="21" t="inlineStr">
        <is>
          <t>George Boughey</t>
        </is>
      </c>
      <c r="C41" s="21" t="inlineStr">
        <is>
          <t>GB</t>
        </is>
      </c>
      <c r="D41" s="21" t="inlineStr">
        <is>
          <t>Bahrain Turf Series</t>
        </is>
      </c>
      <c r="E41" s="21" t="inlineStr">
        <is>
          <t>N</t>
        </is>
      </c>
      <c r="F41" s="21" t="n"/>
      <c r="G41" s="21" t="n"/>
    </row>
    <row r="42">
      <c r="A42" s="21" t="inlineStr">
        <is>
          <t>Desert Cop (GB)</t>
        </is>
      </c>
      <c r="B42" s="21" t="inlineStr">
        <is>
          <t>George Baker</t>
        </is>
      </c>
      <c r="C42" s="21" t="inlineStr">
        <is>
          <t>GB</t>
        </is>
      </c>
      <c r="D42" s="21" t="inlineStr">
        <is>
          <t>Bahrain Turf Series</t>
        </is>
      </c>
      <c r="E42" s="21" t="inlineStr">
        <is>
          <t>Y</t>
        </is>
      </c>
      <c r="F42" s="21" t="n">
        <v>1</v>
      </c>
      <c r="G42" s="21" t="n"/>
    </row>
    <row r="43">
      <c r="A43" s="21" t="inlineStr">
        <is>
          <t>Roman Dragon (GB)</t>
        </is>
      </c>
      <c r="B43" s="21" t="inlineStr">
        <is>
          <t>Hugo Palmer</t>
        </is>
      </c>
      <c r="C43" s="21" t="inlineStr">
        <is>
          <t>GB</t>
        </is>
      </c>
      <c r="D43" s="21" t="inlineStr">
        <is>
          <t>Bahrain Turf Series</t>
        </is>
      </c>
      <c r="E43" s="21" t="inlineStr">
        <is>
          <t>Y</t>
        </is>
      </c>
      <c r="F43" s="21" t="n">
        <v>1</v>
      </c>
      <c r="G43" s="21" t="n"/>
    </row>
    <row r="44">
      <c r="A44" s="21" t="inlineStr">
        <is>
          <t>Spangled Mac (IRE)</t>
        </is>
      </c>
      <c r="B44" s="21" t="inlineStr">
        <is>
          <t>George Boughey</t>
        </is>
      </c>
      <c r="C44" s="21" t="inlineStr">
        <is>
          <t>GB</t>
        </is>
      </c>
      <c r="D44" s="21" t="inlineStr">
        <is>
          <t>Bahrain Turf Series</t>
        </is>
      </c>
      <c r="E44" s="21" t="inlineStr">
        <is>
          <t>Y</t>
        </is>
      </c>
      <c r="F44" s="21" t="n">
        <v>1</v>
      </c>
      <c r="G44" s="21" t="n"/>
    </row>
    <row r="45">
      <c r="A45" s="21" t="inlineStr">
        <is>
          <t>Squealer (IRE)</t>
        </is>
      </c>
      <c r="B45" s="21" t="inlineStr">
        <is>
          <t>Nigel Tinkler</t>
        </is>
      </c>
      <c r="C45" s="21" t="inlineStr">
        <is>
          <t>GB</t>
        </is>
      </c>
      <c r="D45" s="21" t="inlineStr">
        <is>
          <t>Bahrain Turf Series</t>
        </is>
      </c>
      <c r="E45" s="21" t="inlineStr">
        <is>
          <t>N</t>
        </is>
      </c>
      <c r="F45" s="21" t="n"/>
      <c r="G45" s="21" t="n"/>
    </row>
    <row r="46">
      <c r="A46" s="21" t="inlineStr">
        <is>
          <t>Jubilee Walk (GB)</t>
        </is>
      </c>
      <c r="B46" s="21" t="inlineStr">
        <is>
          <t>James Ferguson</t>
        </is>
      </c>
      <c r="C46" s="21" t="inlineStr">
        <is>
          <t>GB</t>
        </is>
      </c>
      <c r="D46" s="21" t="inlineStr">
        <is>
          <t>Bahrain Turf Series</t>
        </is>
      </c>
      <c r="E46" s="21" t="inlineStr">
        <is>
          <t>N</t>
        </is>
      </c>
      <c r="F46" s="21" t="n"/>
      <c r="G46" s="21" t="n"/>
    </row>
    <row r="47">
      <c r="A47" s="21" t="inlineStr">
        <is>
          <t>Oliver Show (IRE)</t>
        </is>
      </c>
      <c r="B47" s="21" t="inlineStr">
        <is>
          <t>George Boughey</t>
        </is>
      </c>
      <c r="C47" s="21" t="inlineStr">
        <is>
          <t>GB</t>
        </is>
      </c>
      <c r="D47" s="21" t="inlineStr">
        <is>
          <t>Bahrain Turf Series</t>
        </is>
      </c>
      <c r="E47" s="21" t="inlineStr">
        <is>
          <t>N</t>
        </is>
      </c>
      <c r="F47" s="21" t="n"/>
      <c r="G47" s="21" t="n"/>
    </row>
    <row r="48" ht="15" customHeight="1">
      <c r="A48" s="26" t="inlineStr">
        <is>
          <t>Lucander (IRE)</t>
        </is>
      </c>
      <c r="B48" s="21" t="inlineStr">
        <is>
          <t>George Baker</t>
        </is>
      </c>
      <c r="C48" s="21" t="inlineStr">
        <is>
          <t>GB</t>
        </is>
      </c>
      <c r="D48" s="21" t="inlineStr">
        <is>
          <t>Bahrain Turf Series</t>
        </is>
      </c>
      <c r="E48" s="21" t="inlineStr">
        <is>
          <t>N</t>
        </is>
      </c>
      <c r="F48" s="21" t="n"/>
      <c r="G48" s="21" t="n"/>
    </row>
    <row r="49">
      <c r="A49" s="21" t="inlineStr">
        <is>
          <t>Yantarni (GB)</t>
        </is>
      </c>
      <c r="B49" s="21" t="inlineStr">
        <is>
          <t>Ian Williams</t>
        </is>
      </c>
      <c r="C49" s="21" t="inlineStr">
        <is>
          <t>GB</t>
        </is>
      </c>
      <c r="D49" s="21" t="inlineStr">
        <is>
          <t>Bahrain Turf Series</t>
        </is>
      </c>
      <c r="E49" s="21" t="inlineStr">
        <is>
          <t>N</t>
        </is>
      </c>
      <c r="F49" s="21" t="n"/>
      <c r="G49" s="21" t="n"/>
    </row>
    <row r="50">
      <c r="A50" s="21" t="inlineStr">
        <is>
          <t>Kiwano (FR)</t>
        </is>
      </c>
      <c r="B50" s="21" t="inlineStr">
        <is>
          <t>George Baker</t>
        </is>
      </c>
      <c r="C50" s="21" t="inlineStr">
        <is>
          <t>GB</t>
        </is>
      </c>
      <c r="D50" s="21" t="inlineStr">
        <is>
          <t>Bahrain Turf Series</t>
        </is>
      </c>
      <c r="E50" s="21" t="inlineStr">
        <is>
          <t>N</t>
        </is>
      </c>
      <c r="F50" s="21" t="n"/>
      <c r="G50" s="21" t="n"/>
    </row>
    <row r="51">
      <c r="A51" s="21" t="inlineStr">
        <is>
          <t>Jehangeer (IRE)</t>
        </is>
      </c>
      <c r="B51" s="21" t="inlineStr">
        <is>
          <t>Marco Botti</t>
        </is>
      </c>
      <c r="C51" s="21" t="inlineStr">
        <is>
          <t>GB</t>
        </is>
      </c>
      <c r="D51" s="21" t="inlineStr">
        <is>
          <t>Bahrain Turf Series</t>
        </is>
      </c>
      <c r="E51" s="21" t="inlineStr">
        <is>
          <t>N</t>
        </is>
      </c>
      <c r="F51" s="21" t="n"/>
      <c r="G51" s="21" t="n"/>
    </row>
    <row r="52">
      <c r="A52" s="21" t="inlineStr">
        <is>
          <t>Lion Of War (GB)</t>
        </is>
      </c>
      <c r="B52" s="21" t="inlineStr">
        <is>
          <t xml:space="preserve">Charlie Johnston </t>
        </is>
      </c>
      <c r="C52" s="21" t="inlineStr">
        <is>
          <t>GB</t>
        </is>
      </c>
      <c r="D52" s="21" t="inlineStr">
        <is>
          <t>Bahrain Turf Series</t>
        </is>
      </c>
      <c r="E52" s="21" t="inlineStr">
        <is>
          <t>N</t>
        </is>
      </c>
      <c r="F52" s="21" t="n"/>
      <c r="G52" s="21" t="n"/>
    </row>
    <row r="53">
      <c r="A53" s="21" t="inlineStr">
        <is>
          <t>Dear My Friend (GB)</t>
        </is>
      </c>
      <c r="B53" s="21" t="inlineStr">
        <is>
          <t xml:space="preserve">Charlie Johnston </t>
        </is>
      </c>
      <c r="C53" s="21" t="inlineStr">
        <is>
          <t>GB</t>
        </is>
      </c>
      <c r="D53" s="21" t="inlineStr">
        <is>
          <t>Bahrain Turf Series</t>
        </is>
      </c>
      <c r="E53" s="21" t="inlineStr">
        <is>
          <t>N</t>
        </is>
      </c>
      <c r="F53" s="21" t="n"/>
      <c r="G53" s="21" t="n"/>
    </row>
    <row r="54">
      <c r="A54" s="21" t="inlineStr">
        <is>
          <t>Watch My Tracer (IRE)</t>
        </is>
      </c>
      <c r="B54" s="21" t="inlineStr">
        <is>
          <t>George Scott</t>
        </is>
      </c>
      <c r="C54" s="21" t="inlineStr">
        <is>
          <t>GB</t>
        </is>
      </c>
      <c r="D54" s="21" t="inlineStr">
        <is>
          <t>Bahrain Turf Series</t>
        </is>
      </c>
      <c r="E54" s="21" t="inlineStr">
        <is>
          <t>N</t>
        </is>
      </c>
      <c r="F54" s="21" t="n"/>
      <c r="G54" s="21" t="n"/>
    </row>
    <row r="55">
      <c r="A55" s="21" t="inlineStr">
        <is>
          <t>Rocket Rodney (GB)</t>
        </is>
      </c>
      <c r="B55" s="21" t="inlineStr">
        <is>
          <t>George Scott</t>
        </is>
      </c>
      <c r="C55" s="21" t="inlineStr">
        <is>
          <t>GB</t>
        </is>
      </c>
      <c r="D55" s="21" t="inlineStr">
        <is>
          <t>Bahrain Turf Series</t>
        </is>
      </c>
      <c r="E55" s="21" t="inlineStr">
        <is>
          <t>N</t>
        </is>
      </c>
      <c r="F55" s="21" t="n"/>
      <c r="G55" s="21" t="n"/>
    </row>
    <row r="56">
      <c r="A56" s="21" t="inlineStr">
        <is>
          <t>Phantom Flight (GB)</t>
        </is>
      </c>
      <c r="B56" s="21" t="inlineStr">
        <is>
          <t>George Scott</t>
        </is>
      </c>
      <c r="C56" s="21" t="inlineStr">
        <is>
          <t>GB</t>
        </is>
      </c>
      <c r="D56" s="21" t="inlineStr">
        <is>
          <t>Bahrain Turf Series</t>
        </is>
      </c>
      <c r="E56" s="21" t="inlineStr">
        <is>
          <t>Y</t>
        </is>
      </c>
      <c r="F56" s="21" t="n">
        <v>2</v>
      </c>
      <c r="G56" s="21" t="inlineStr">
        <is>
          <t>DUAL WINNER</t>
        </is>
      </c>
    </row>
    <row r="57">
      <c r="A57" s="21" t="inlineStr">
        <is>
          <t>Metabolt (GB)</t>
        </is>
      </c>
      <c r="B57" s="21" t="inlineStr">
        <is>
          <t>David Loughnane</t>
        </is>
      </c>
      <c r="C57" s="21" t="inlineStr">
        <is>
          <t>GB</t>
        </is>
      </c>
      <c r="D57" s="21" t="inlineStr">
        <is>
          <t>Bahrain Turf Series</t>
        </is>
      </c>
      <c r="E57" s="21" t="inlineStr">
        <is>
          <t>N</t>
        </is>
      </c>
      <c r="F57" s="21" t="n"/>
      <c r="G57" s="21" t="n"/>
    </row>
    <row r="58">
      <c r="A58" s="21" t="inlineStr">
        <is>
          <t>City House (IRE)</t>
        </is>
      </c>
      <c r="B58" s="21" t="inlineStr">
        <is>
          <t>George Scott</t>
        </is>
      </c>
      <c r="C58" s="21" t="inlineStr">
        <is>
          <t>GB</t>
        </is>
      </c>
      <c r="D58" s="21" t="inlineStr">
        <is>
          <t>Bahrain Turf Series</t>
        </is>
      </c>
      <c r="E58" s="21" t="inlineStr">
        <is>
          <t>Y</t>
        </is>
      </c>
      <c r="F58" s="21" t="n">
        <v>2</v>
      </c>
      <c r="G58" s="21" t="inlineStr">
        <is>
          <t>DUAL WINNER</t>
        </is>
      </c>
    </row>
    <row r="59">
      <c r="A59" s="21" t="inlineStr">
        <is>
          <t>Touch The Moon (IRE)</t>
        </is>
      </c>
      <c r="B59" s="21" t="inlineStr">
        <is>
          <t>George Scott</t>
        </is>
      </c>
      <c r="C59" s="21" t="inlineStr">
        <is>
          <t>GB</t>
        </is>
      </c>
      <c r="D59" s="21" t="inlineStr">
        <is>
          <t>Bahrain Turf Series</t>
        </is>
      </c>
      <c r="E59" s="21" t="inlineStr">
        <is>
          <t>Y</t>
        </is>
      </c>
      <c r="F59" s="21" t="n">
        <v>2</v>
      </c>
      <c r="G59" s="21" t="inlineStr">
        <is>
          <t>DUAL WINNER</t>
        </is>
      </c>
    </row>
    <row r="60">
      <c r="A60" s="21" t="inlineStr">
        <is>
          <t>Grand City Hall (IRE)</t>
        </is>
      </c>
      <c r="B60" s="21" t="inlineStr">
        <is>
          <t>Marco Botti</t>
        </is>
      </c>
      <c r="C60" s="21" t="inlineStr">
        <is>
          <t>GB</t>
        </is>
      </c>
      <c r="D60" s="21" t="inlineStr">
        <is>
          <t>Bahrain Turf Series</t>
        </is>
      </c>
      <c r="E60" s="21" t="inlineStr">
        <is>
          <t>N</t>
        </is>
      </c>
      <c r="F60" s="21" t="n"/>
      <c r="G60" s="21" t="n"/>
    </row>
    <row r="61">
      <c r="A61" s="21" t="inlineStr">
        <is>
          <t>Passion And Glory (IRE)</t>
        </is>
      </c>
      <c r="B61" s="21" t="inlineStr">
        <is>
          <t>Saeed Bin Suroor</t>
        </is>
      </c>
      <c r="C61" s="21" t="inlineStr">
        <is>
          <t>UAE</t>
        </is>
      </c>
      <c r="D61" s="21" t="inlineStr">
        <is>
          <t>Crown Prince Cup</t>
        </is>
      </c>
      <c r="E61" s="21" t="inlineStr">
        <is>
          <t>N</t>
        </is>
      </c>
      <c r="F61" s="21" t="n"/>
      <c r="G61" s="21" t="n"/>
    </row>
    <row r="62">
      <c r="A62" s="21" t="inlineStr">
        <is>
          <t>Intricacy (GB)</t>
        </is>
      </c>
      <c r="B62" s="21" t="inlineStr">
        <is>
          <t xml:space="preserve">Simon &amp; Ed Crisford </t>
        </is>
      </c>
      <c r="C62" s="21" t="inlineStr">
        <is>
          <t>UAE</t>
        </is>
      </c>
      <c r="D62" s="21" t="inlineStr">
        <is>
          <t>HH Shaikh Nasser Cup</t>
        </is>
      </c>
      <c r="E62" s="21" t="inlineStr">
        <is>
          <t>N</t>
        </is>
      </c>
      <c r="F62" s="21" t="n"/>
      <c r="G62" s="21" t="n"/>
    </row>
    <row r="63">
      <c r="A63" s="21" t="inlineStr">
        <is>
          <t>Greer (IRE)</t>
        </is>
      </c>
      <c r="B63" s="21" t="inlineStr">
        <is>
          <t>Mohammed Ghazali</t>
        </is>
      </c>
      <c r="C63" s="21" t="inlineStr">
        <is>
          <t>QTR</t>
        </is>
      </c>
      <c r="D63" s="21" t="inlineStr">
        <is>
          <t>Bahrain Turf Series - KC Festival</t>
        </is>
      </c>
      <c r="E63" s="21" t="inlineStr">
        <is>
          <t>N</t>
        </is>
      </c>
      <c r="F63" s="21" t="n"/>
      <c r="G63" s="21" t="n"/>
    </row>
    <row r="64">
      <c r="A64" s="21" t="inlineStr">
        <is>
          <t>King Of Conquest (GB)</t>
        </is>
      </c>
      <c r="B64" s="21" t="inlineStr">
        <is>
          <t>Charlie Appleby</t>
        </is>
      </c>
      <c r="C64" s="21" t="inlineStr">
        <is>
          <t>UAE</t>
        </is>
      </c>
      <c r="D64" s="21" t="inlineStr">
        <is>
          <t>King's Cup</t>
        </is>
      </c>
      <c r="E64" s="21" t="inlineStr">
        <is>
          <t>N</t>
        </is>
      </c>
      <c r="F64" s="21" t="n"/>
      <c r="G64" s="21" t="n"/>
    </row>
    <row r="65">
      <c r="A65" s="21" t="inlineStr">
        <is>
          <t>Military Academy (GB)</t>
        </is>
      </c>
      <c r="B65" s="21" t="inlineStr">
        <is>
          <t>John &amp; Thady Gosden</t>
        </is>
      </c>
      <c r="C65" s="21" t="inlineStr">
        <is>
          <t>GB</t>
        </is>
      </c>
      <c r="D65" s="21" t="inlineStr">
        <is>
          <t>King's Cup</t>
        </is>
      </c>
      <c r="E65" s="21" t="inlineStr">
        <is>
          <t>N</t>
        </is>
      </c>
      <c r="F65" s="21" t="n"/>
      <c r="G65" s="21" t="n"/>
    </row>
    <row r="66">
      <c r="A66" s="21" t="inlineStr">
        <is>
          <t>General Panic (GB)</t>
        </is>
      </c>
      <c r="B66" s="21" t="inlineStr">
        <is>
          <t>Ibrahim Al Malki</t>
        </is>
      </c>
      <c r="C66" s="21" t="inlineStr">
        <is>
          <t>QTR</t>
        </is>
      </c>
      <c r="D66" s="21" t="inlineStr">
        <is>
          <t>Al Methaq Mile Cup</t>
        </is>
      </c>
      <c r="E66" s="21" t="inlineStr">
        <is>
          <t>N</t>
        </is>
      </c>
      <c r="F66" s="21" t="n"/>
      <c r="G66" s="21" t="n"/>
    </row>
    <row r="67">
      <c r="A67" s="21" t="inlineStr">
        <is>
          <t>Highbank (IRE)</t>
        </is>
      </c>
      <c r="B67" s="21" t="inlineStr">
        <is>
          <t>Simon &amp; Ed Crisford</t>
        </is>
      </c>
      <c r="C67" s="21" t="inlineStr">
        <is>
          <t>UAE</t>
        </is>
      </c>
      <c r="D67" s="21" t="inlineStr">
        <is>
          <t>Al Methaq Mile Cup</t>
        </is>
      </c>
      <c r="E67" s="21" t="inlineStr">
        <is>
          <t>N</t>
        </is>
      </c>
      <c r="F67" s="21" t="n"/>
      <c r="G67" s="21" t="n"/>
    </row>
    <row r="68">
      <c r="A68" s="21" t="inlineStr">
        <is>
          <t>Ottoman Fleet (GB)</t>
        </is>
      </c>
      <c r="B68" s="21" t="inlineStr">
        <is>
          <t>Charlie Appleby</t>
        </is>
      </c>
      <c r="C68" s="21" t="inlineStr">
        <is>
          <t>UAE</t>
        </is>
      </c>
      <c r="D68" s="21" t="inlineStr">
        <is>
          <t>Al Methaq Mile Cup</t>
        </is>
      </c>
      <c r="E68" s="21" t="n"/>
      <c r="F68" s="21" t="n"/>
      <c r="G68" s="21" t="inlineStr">
        <is>
          <t>Not Travel</t>
        </is>
      </c>
    </row>
    <row r="69">
      <c r="A69" s="6" t="inlineStr">
        <is>
          <t>TOTALS:</t>
        </is>
      </c>
      <c r="B69" s="6" t="n"/>
      <c r="C69" s="6" t="n"/>
      <c r="D69" s="6" t="n"/>
      <c r="E69" s="6">
        <f>COUNTIF(E25:E68,"Y")</f>
        <v/>
      </c>
      <c r="F69" s="6">
        <f>SUM(F25:F68)</f>
        <v/>
      </c>
      <c r="G69" s="6" t="n"/>
    </row>
    <row r="71">
      <c r="A71" s="50" t="inlineStr">
        <is>
          <t>SECTION 3: INTERNATIONAL WINNERS</t>
        </is>
      </c>
      <c r="B71" s="53" t="n"/>
      <c r="C71" s="53" t="n"/>
      <c r="D71" s="53" t="n"/>
      <c r="E71" s="53" t="n"/>
      <c r="F71" s="53" t="n"/>
      <c r="G71" s="53" t="n"/>
    </row>
    <row r="72">
      <c r="A72" s="8" t="inlineStr">
        <is>
          <t>Horse</t>
        </is>
      </c>
      <c r="B72" s="8" t="inlineStr">
        <is>
          <t>Trainer</t>
        </is>
      </c>
      <c r="C72" s="8" t="inlineStr">
        <is>
          <t>Country</t>
        </is>
      </c>
      <c r="D72" s="8" t="inlineStr">
        <is>
          <t>Race</t>
        </is>
      </c>
      <c r="E72" s="8" t="inlineStr">
        <is>
          <t>Date</t>
        </is>
      </c>
      <c r="F72" s="8" t="inlineStr">
        <is>
          <t>Win # for Horse</t>
        </is>
      </c>
      <c r="G72" s="8" t="inlineStr">
        <is>
          <t>Notes</t>
        </is>
      </c>
    </row>
    <row r="73">
      <c r="A73" s="21" t="inlineStr">
        <is>
          <t>Spirit Dancer (GB)</t>
        </is>
      </c>
      <c r="B73" s="21" t="inlineStr">
        <is>
          <t>Richard Fahey</t>
        </is>
      </c>
      <c r="C73" s="21" t="inlineStr">
        <is>
          <t>GB</t>
        </is>
      </c>
      <c r="D73" s="21" t="inlineStr">
        <is>
          <t>BAHRAIN INTERNATIONAL TROPHY</t>
        </is>
      </c>
      <c r="E73" s="22" t="n">
        <v>46341</v>
      </c>
      <c r="F73" s="21" t="n">
        <v>1</v>
      </c>
      <c r="G73" s="21" t="n"/>
    </row>
    <row r="74">
      <c r="A74" s="21" t="inlineStr">
        <is>
          <t>Snellen (IRE)</t>
        </is>
      </c>
      <c r="B74" s="21" t="inlineStr">
        <is>
          <t>Gavin Cromwell</t>
        </is>
      </c>
      <c r="C74" s="21" t="inlineStr">
        <is>
          <t>IRE</t>
        </is>
      </c>
      <c r="D74" s="21" t="inlineStr">
        <is>
          <t>AL MUHARRAQ CUP</t>
        </is>
      </c>
      <c r="E74" s="22" t="n">
        <v>46376</v>
      </c>
      <c r="F74" s="21" t="n">
        <v>1</v>
      </c>
      <c r="G74" s="21" t="n"/>
    </row>
    <row r="75">
      <c r="A75" s="21" t="inlineStr">
        <is>
          <t>Majestic (IRE)</t>
        </is>
      </c>
      <c r="B75" s="21" t="inlineStr">
        <is>
          <t>Jack Channon</t>
        </is>
      </c>
      <c r="C75" s="21" t="inlineStr">
        <is>
          <t>GB</t>
        </is>
      </c>
      <c r="D75" s="21" t="inlineStr">
        <is>
          <t>Al DANA CUP</t>
        </is>
      </c>
      <c r="E75" s="22" t="n">
        <v>46032</v>
      </c>
      <c r="F75" s="21" t="n">
        <v>1</v>
      </c>
      <c r="G75" s="21" t="n"/>
    </row>
    <row r="76">
      <c r="A76" s="21" t="inlineStr">
        <is>
          <t>Spangled Mac (IRE)</t>
        </is>
      </c>
      <c r="B76" s="21" t="inlineStr">
        <is>
          <t>George Boughey</t>
        </is>
      </c>
      <c r="C76" s="21" t="inlineStr">
        <is>
          <t>GB</t>
        </is>
      </c>
      <c r="D76" s="21" t="inlineStr">
        <is>
          <t>AL RIFFA CUP</t>
        </is>
      </c>
      <c r="E76" s="22" t="n">
        <v>46032</v>
      </c>
      <c r="F76" s="21" t="n">
        <v>1</v>
      </c>
      <c r="G76" s="21" t="n"/>
    </row>
    <row r="77">
      <c r="A77" s="21" t="inlineStr">
        <is>
          <t>Phantom Flight (GB)</t>
        </is>
      </c>
      <c r="B77" s="21" t="inlineStr">
        <is>
          <t>George Scott</t>
        </is>
      </c>
      <c r="C77" s="21" t="inlineStr">
        <is>
          <t>GB</t>
        </is>
      </c>
      <c r="D77" s="21" t="inlineStr">
        <is>
          <t xml:space="preserve">AL ADIYAT CUP &amp; CPC </t>
        </is>
      </c>
      <c r="E77" s="22" t="n">
        <v>46039</v>
      </c>
      <c r="F77" s="21" t="n">
        <v>2</v>
      </c>
      <c r="G77" s="21" t="inlineStr">
        <is>
          <t>DUAL WINNER</t>
        </is>
      </c>
    </row>
    <row r="78">
      <c r="A78" s="21" t="inlineStr">
        <is>
          <t>City House (IRE)</t>
        </is>
      </c>
      <c r="B78" s="21" t="inlineStr">
        <is>
          <t>George Scott</t>
        </is>
      </c>
      <c r="C78" s="21" t="inlineStr">
        <is>
          <t>GB</t>
        </is>
      </c>
      <c r="D78" s="21" t="inlineStr">
        <is>
          <t>THE HAWAR CUP &amp; THE HUNTSMAN CUP</t>
        </is>
      </c>
      <c r="E78" s="22" t="n">
        <v>46052</v>
      </c>
      <c r="F78" s="21" t="n">
        <v>2</v>
      </c>
      <c r="G78" s="21" t="inlineStr">
        <is>
          <t>DUAL WINNER</t>
        </is>
      </c>
    </row>
    <row r="79">
      <c r="A79" s="21" t="inlineStr">
        <is>
          <t>Roman Dragon (GB)</t>
        </is>
      </c>
      <c r="B79" s="21" t="inlineStr">
        <is>
          <t>Hugo Palmer</t>
        </is>
      </c>
      <c r="C79" s="21" t="inlineStr">
        <is>
          <t>GB</t>
        </is>
      </c>
      <c r="D79" s="21" t="inlineStr">
        <is>
          <t>AL SAKHIR CUP</t>
        </is>
      </c>
      <c r="E79" s="22" t="n">
        <v>46074</v>
      </c>
      <c r="F79" s="21" t="n">
        <v>1</v>
      </c>
      <c r="G79" s="21" t="n"/>
    </row>
    <row r="80">
      <c r="A80" s="21" t="inlineStr">
        <is>
          <t>Desert Cop (GB)</t>
        </is>
      </c>
      <c r="B80" s="21" t="inlineStr">
        <is>
          <t>George Baker</t>
        </is>
      </c>
      <c r="C80" s="21" t="inlineStr">
        <is>
          <t>GB</t>
        </is>
      </c>
      <c r="D80" s="21" t="inlineStr">
        <is>
          <t>THE CHAIRMAN'S CUP</t>
        </is>
      </c>
      <c r="E80" s="22" t="n">
        <v>46088</v>
      </c>
      <c r="F80" s="21" t="n">
        <v>1</v>
      </c>
      <c r="G80" s="21" t="n"/>
    </row>
    <row r="81">
      <c r="A81" s="21" t="inlineStr">
        <is>
          <t>Touch The Moon (IRE)</t>
        </is>
      </c>
      <c r="B81" s="21" t="inlineStr">
        <is>
          <t>George Scott</t>
        </is>
      </c>
      <c r="C81" s="21" t="inlineStr">
        <is>
          <t>GB</t>
        </is>
      </c>
      <c r="D81" s="21" t="inlineStr">
        <is>
          <t>HH SH. ABDULLA BIN ISA BIN SALMAN AL KHALIFA CUP &amp; CELEBRATE BAHRAIN CUP</t>
        </is>
      </c>
      <c r="E81" s="22" t="n">
        <v>46039</v>
      </c>
      <c r="F81" s="21" t="n">
        <v>2</v>
      </c>
      <c r="G81" s="21" t="inlineStr">
        <is>
          <t>DUAL WINNER</t>
        </is>
      </c>
    </row>
    <row r="82">
      <c r="A82" s="21" t="n"/>
      <c r="B82" s="21" t="n"/>
      <c r="C82" s="21" t="n"/>
      <c r="D82" s="21" t="n"/>
      <c r="E82" s="21" t="n"/>
      <c r="F82" s="21" t="n"/>
      <c r="G82" s="21" t="n"/>
    </row>
    <row r="83">
      <c r="A83" s="21" t="n"/>
      <c r="B83" s="21" t="n"/>
      <c r="C83" s="21" t="n"/>
      <c r="D83" s="21" t="n"/>
      <c r="E83" s="21" t="n"/>
      <c r="F83" s="21" t="n"/>
      <c r="G83" s="21" t="n"/>
    </row>
    <row r="84">
      <c r="A84" s="21" t="n"/>
      <c r="B84" s="21" t="n"/>
      <c r="C84" s="21" t="n"/>
      <c r="D84" s="21" t="n"/>
      <c r="E84" s="21" t="n"/>
      <c r="F84" s="21" t="n"/>
      <c r="G84" s="21" t="n"/>
    </row>
    <row r="85">
      <c r="A85" s="21" t="n"/>
      <c r="B85" s="21" t="n"/>
      <c r="C85" s="21" t="n"/>
      <c r="D85" s="21" t="n"/>
      <c r="E85" s="21" t="n"/>
      <c r="F85" s="21" t="n"/>
      <c r="G85" s="21" t="n"/>
    </row>
    <row r="86">
      <c r="A86" s="21" t="n"/>
      <c r="B86" s="21" t="n"/>
      <c r="C86" s="21" t="n"/>
      <c r="D86" s="21" t="n"/>
      <c r="E86" s="21" t="n"/>
      <c r="F86" s="21" t="n"/>
      <c r="G86" s="21" t="n"/>
    </row>
    <row r="87">
      <c r="A87" s="21" t="n"/>
      <c r="B87" s="21" t="n"/>
      <c r="C87" s="21" t="n"/>
      <c r="D87" s="21" t="n"/>
      <c r="E87" s="21" t="n"/>
      <c r="F87" s="21" t="n"/>
      <c r="G87" s="21" t="n"/>
    </row>
    <row r="88" ht="15" customHeight="1"/>
    <row r="89">
      <c r="A89" s="46" t="inlineStr">
        <is>
          <t>Total International Wins:</t>
        </is>
      </c>
      <c r="B89" s="53" t="n"/>
      <c r="C89" s="6">
        <f>COUNTA(A73:A87)</f>
        <v/>
      </c>
      <c r="D89" s="7" t="n"/>
      <c r="E89" s="7" t="n"/>
      <c r="F89" s="7" t="n"/>
      <c r="G89" s="7" t="n"/>
    </row>
    <row r="90">
      <c r="A90" s="46" t="inlineStr">
        <is>
          <t>Individual Winning Horses:</t>
        </is>
      </c>
      <c r="B90" s="53" t="n"/>
      <c r="C90" s="6">
        <f>COUNTIF(F73:F87,1)</f>
        <v/>
      </c>
      <c r="D90" s="7" t="n"/>
      <c r="E90" s="7" t="n"/>
      <c r="F90" s="7" t="n"/>
      <c r="G90" s="7" t="n"/>
    </row>
    <row r="91">
      <c r="A91" s="46" t="inlineStr">
        <is>
          <t>Dual+ Winners:</t>
        </is>
      </c>
      <c r="B91" s="53" t="n"/>
      <c r="C91" s="6">
        <f>C89-C90</f>
        <v/>
      </c>
      <c r="D91" s="7" t="n"/>
      <c r="E91" s="7" t="n"/>
      <c r="F91" s="7" t="n"/>
      <c r="G91" s="7" t="n"/>
    </row>
    <row r="93">
      <c r="A93" s="50" t="inlineStr">
        <is>
          <t>SECTION 4: INTERNATIONAL TRAINERS</t>
        </is>
      </c>
      <c r="B93" s="53" t="n"/>
      <c r="C93" s="53" t="n"/>
      <c r="D93" s="53" t="n"/>
      <c r="E93" s="53" t="n"/>
      <c r="F93" s="53" t="n"/>
      <c r="G93" s="53" t="n"/>
    </row>
    <row r="94">
      <c r="A94" s="10" t="inlineStr">
        <is>
          <t>Bahrain International Trophy</t>
        </is>
      </c>
    </row>
    <row r="95">
      <c r="A95" s="8" t="inlineStr">
        <is>
          <t>Trainer</t>
        </is>
      </c>
      <c r="B95" s="8" t="inlineStr">
        <is>
          <t>Country</t>
        </is>
      </c>
      <c r="C95" s="8" t="inlineStr">
        <is>
          <t>Notes</t>
        </is>
      </c>
      <c r="D95" s="8" t="n"/>
      <c r="E95" s="8" t="n"/>
      <c r="F95" s="8" t="n"/>
      <c r="G95" s="8" t="n"/>
    </row>
    <row r="96">
      <c r="A96" s="21" t="inlineStr">
        <is>
          <t>Richard Fahey</t>
        </is>
      </c>
      <c r="B96" s="21" t="inlineStr">
        <is>
          <t>GB</t>
        </is>
      </c>
      <c r="C96" s="9" t="n"/>
    </row>
    <row r="97">
      <c r="A97" s="21" t="inlineStr">
        <is>
          <t>John &amp; Thady Gosden</t>
        </is>
      </c>
      <c r="B97" s="21" t="inlineStr">
        <is>
          <t>GB</t>
        </is>
      </c>
      <c r="C97" s="9" t="n"/>
    </row>
    <row r="98">
      <c r="A98" s="21" t="inlineStr">
        <is>
          <t>Owen Burrows</t>
        </is>
      </c>
      <c r="B98" s="21" t="inlineStr">
        <is>
          <t>GB</t>
        </is>
      </c>
      <c r="C98" s="9" t="n"/>
    </row>
    <row r="99">
      <c r="A99" s="21" t="inlineStr">
        <is>
          <t xml:space="preserve">F-H Graffard </t>
        </is>
      </c>
      <c r="B99" s="21" t="inlineStr">
        <is>
          <t>FR</t>
        </is>
      </c>
      <c r="C99" s="9" t="n"/>
    </row>
    <row r="100">
      <c r="A100" s="21" t="inlineStr">
        <is>
          <t xml:space="preserve">Takashi Saito </t>
        </is>
      </c>
      <c r="B100" s="21" t="inlineStr">
        <is>
          <t>JPN</t>
        </is>
      </c>
      <c r="C100" s="9" t="n"/>
    </row>
    <row r="101">
      <c r="A101" s="21" t="inlineStr">
        <is>
          <t>Aidan O'Brain</t>
        </is>
      </c>
      <c r="B101" s="21" t="inlineStr">
        <is>
          <t>IRE</t>
        </is>
      </c>
      <c r="C101" s="9" t="n"/>
    </row>
    <row r="102">
      <c r="A102" s="21" t="inlineStr">
        <is>
          <t>Charlie Appleby</t>
        </is>
      </c>
      <c r="B102" s="21" t="inlineStr">
        <is>
          <t>UAE</t>
        </is>
      </c>
      <c r="C102" s="9" t="n"/>
    </row>
    <row r="103">
      <c r="A103" s="21" t="inlineStr">
        <is>
          <t>C &amp; Y Lerner</t>
        </is>
      </c>
      <c r="B103" s="25" t="inlineStr">
        <is>
          <t>FR</t>
        </is>
      </c>
      <c r="C103" s="9" t="n"/>
    </row>
    <row r="105">
      <c r="A105" s="10" t="inlineStr">
        <is>
          <t>Bahrain Turf Series</t>
        </is>
      </c>
    </row>
    <row r="106">
      <c r="A106" s="8" t="inlineStr">
        <is>
          <t>Trainer</t>
        </is>
      </c>
      <c r="B106" s="8" t="inlineStr">
        <is>
          <t>Country</t>
        </is>
      </c>
      <c r="C106" s="8" t="inlineStr">
        <is>
          <t>Notes</t>
        </is>
      </c>
      <c r="D106" s="8" t="n"/>
      <c r="E106" s="8" t="n"/>
      <c r="F106" s="8" t="n"/>
      <c r="G106" s="8" t="n"/>
    </row>
    <row r="107">
      <c r="A107" s="21" t="inlineStr">
        <is>
          <t>George Boughey</t>
        </is>
      </c>
      <c r="B107" s="21" t="inlineStr">
        <is>
          <t>GB</t>
        </is>
      </c>
      <c r="C107" s="21" t="n"/>
    </row>
    <row r="108">
      <c r="A108" s="21" t="inlineStr">
        <is>
          <t>George Baker</t>
        </is>
      </c>
      <c r="B108" s="21" t="inlineStr">
        <is>
          <t>GB</t>
        </is>
      </c>
      <c r="C108" s="21" t="n"/>
    </row>
    <row r="109">
      <c r="A109" s="21" t="inlineStr">
        <is>
          <t>Gavin Cromwell</t>
        </is>
      </c>
      <c r="B109" s="21" t="inlineStr">
        <is>
          <t>IRE</t>
        </is>
      </c>
      <c r="C109" s="21" t="n"/>
    </row>
    <row r="110">
      <c r="A110" s="21" t="inlineStr">
        <is>
          <t>Hugo Palmer</t>
        </is>
      </c>
      <c r="B110" s="21" t="inlineStr">
        <is>
          <t>GB</t>
        </is>
      </c>
      <c r="C110" s="21" t="n"/>
    </row>
    <row r="111">
      <c r="A111" s="21" t="inlineStr">
        <is>
          <t>Nigel Tinkler</t>
        </is>
      </c>
      <c r="B111" s="21" t="inlineStr">
        <is>
          <t>GB</t>
        </is>
      </c>
      <c r="C111" s="21" t="n"/>
    </row>
    <row r="112">
      <c r="A112" s="21" t="inlineStr">
        <is>
          <t>Jack Channon</t>
        </is>
      </c>
      <c r="B112" s="21" t="inlineStr">
        <is>
          <t>GB</t>
        </is>
      </c>
      <c r="C112" s="21" t="n"/>
    </row>
    <row r="113">
      <c r="A113" s="21" t="inlineStr">
        <is>
          <t>Nigel Tinkler</t>
        </is>
      </c>
      <c r="B113" s="21" t="inlineStr">
        <is>
          <t>GB</t>
        </is>
      </c>
      <c r="C113" s="21" t="n"/>
    </row>
    <row r="114">
      <c r="A114" s="21" t="inlineStr">
        <is>
          <t>James Ferguson</t>
        </is>
      </c>
      <c r="B114" s="21" t="inlineStr">
        <is>
          <t>GB</t>
        </is>
      </c>
      <c r="C114" s="21" t="n"/>
    </row>
    <row r="115">
      <c r="A115" s="21" t="inlineStr">
        <is>
          <t>Ian Williams</t>
        </is>
      </c>
      <c r="B115" s="21" t="inlineStr">
        <is>
          <t>GB</t>
        </is>
      </c>
      <c r="C115" s="21" t="n"/>
    </row>
    <row r="116">
      <c r="A116" s="21" t="inlineStr">
        <is>
          <t>Marco Botti</t>
        </is>
      </c>
      <c r="B116" s="21" t="inlineStr">
        <is>
          <t>GB</t>
        </is>
      </c>
      <c r="C116" s="21" t="n"/>
    </row>
    <row r="117">
      <c r="A117" s="21" t="inlineStr">
        <is>
          <t xml:space="preserve">Charlie Johnston </t>
        </is>
      </c>
      <c r="B117" s="21" t="inlineStr">
        <is>
          <t>GB</t>
        </is>
      </c>
      <c r="C117" s="21" t="n"/>
    </row>
    <row r="118">
      <c r="A118" s="21" t="inlineStr">
        <is>
          <t>George Scott</t>
        </is>
      </c>
      <c r="B118" s="21" t="inlineStr">
        <is>
          <t>GB</t>
        </is>
      </c>
      <c r="C118" s="21" t="n"/>
    </row>
    <row r="119">
      <c r="A119" s="21" t="inlineStr">
        <is>
          <t>David Loughnane</t>
        </is>
      </c>
      <c r="B119" s="21" t="inlineStr">
        <is>
          <t>GB</t>
        </is>
      </c>
      <c r="C119" s="21" t="n"/>
    </row>
    <row r="120">
      <c r="A120" s="21" t="n"/>
      <c r="B120" s="21" t="n"/>
      <c r="C120" s="21" t="n"/>
    </row>
    <row r="121">
      <c r="A121" s="21" t="n"/>
      <c r="B121" s="21" t="n"/>
      <c r="C121" s="21" t="n"/>
    </row>
    <row r="123">
      <c r="A123" s="6" t="inlineStr">
        <is>
          <t>Total International Trainers:</t>
        </is>
      </c>
      <c r="B123" s="6" t="n"/>
      <c r="C123" s="6" t="n"/>
      <c r="D123" s="6" t="n"/>
      <c r="E123" s="6" t="n"/>
      <c r="F123" s="6" t="n"/>
      <c r="G123" s="6" t="n"/>
    </row>
    <row r="125">
      <c r="A125" s="50" t="inlineStr">
        <is>
          <t>SECTION 5: ADDITIONAL INT'L RACES (HH Shaikh Nasser Cup, Crown Prince Cup, King's Cup, etc.)</t>
        </is>
      </c>
      <c r="B125" s="53" t="n"/>
      <c r="C125" s="53" t="n"/>
      <c r="D125" s="53" t="n"/>
      <c r="E125" s="53" t="n"/>
      <c r="F125" s="53" t="n"/>
      <c r="G125" s="53" t="n"/>
    </row>
    <row r="126">
      <c r="A126" s="8" t="inlineStr">
        <is>
          <t>Race Name</t>
        </is>
      </c>
      <c r="B126" s="8" t="inlineStr">
        <is>
          <t>Horse</t>
        </is>
      </c>
      <c r="C126" s="8" t="inlineStr">
        <is>
          <t>Trainer</t>
        </is>
      </c>
      <c r="D126" s="8" t="inlineStr">
        <is>
          <t>Country</t>
        </is>
      </c>
      <c r="E126" s="8" t="inlineStr">
        <is>
          <t>Date</t>
        </is>
      </c>
      <c r="F126" s="8" t="inlineStr">
        <is>
          <t>Result</t>
        </is>
      </c>
      <c r="G126" s="8" t="inlineStr">
        <is>
          <t>Notes</t>
        </is>
      </c>
    </row>
    <row r="127">
      <c r="A127" s="21" t="inlineStr">
        <is>
          <t>H.H.SH. NASSER BIN HAMAD AL KHALIFA CUP</t>
        </is>
      </c>
      <c r="B127" s="21" t="inlineStr">
        <is>
          <t>Phantom Flight (GB)</t>
        </is>
      </c>
      <c r="C127" s="21" t="inlineStr">
        <is>
          <t>George Scott</t>
        </is>
      </c>
      <c r="D127" s="21" t="inlineStr">
        <is>
          <t>GB</t>
        </is>
      </c>
      <c r="E127" s="31" t="n">
        <v>45709</v>
      </c>
      <c r="F127" s="30" t="inlineStr">
        <is>
          <t>2nd</t>
        </is>
      </c>
      <c r="G127" s="21" t="n"/>
    </row>
    <row r="128">
      <c r="A128" s="21" t="inlineStr">
        <is>
          <t>H.H.SH. NASSER BIN HAMAD AL KHALIFA CUP</t>
        </is>
      </c>
      <c r="B128" s="21" t="inlineStr">
        <is>
          <t>Lucander (IRE)</t>
        </is>
      </c>
      <c r="C128" s="21" t="inlineStr">
        <is>
          <t>George Baker</t>
        </is>
      </c>
      <c r="D128" s="21" t="inlineStr">
        <is>
          <t>GB</t>
        </is>
      </c>
      <c r="E128" s="31" t="n">
        <v>45709</v>
      </c>
      <c r="F128" s="30" t="inlineStr">
        <is>
          <t>7th</t>
        </is>
      </c>
      <c r="G128" s="21" t="n"/>
    </row>
    <row r="129">
      <c r="A129" s="21" t="inlineStr">
        <is>
          <t>H.H.SH. SHEEMA BINT NASSER BIN HAMAD AL KHALIFA CUP</t>
        </is>
      </c>
      <c r="B129" s="21" t="inlineStr">
        <is>
          <t>City House (IRE)</t>
        </is>
      </c>
      <c r="C129" s="21" t="inlineStr">
        <is>
          <t>George Scott</t>
        </is>
      </c>
      <c r="D129" s="21" t="inlineStr">
        <is>
          <t>GB</t>
        </is>
      </c>
      <c r="E129" s="31" t="n">
        <v>45709</v>
      </c>
      <c r="F129" s="30" t="inlineStr">
        <is>
          <t>2nd</t>
        </is>
      </c>
      <c r="G129" s="21" t="n"/>
    </row>
    <row r="130">
      <c r="A130" s="21" t="inlineStr">
        <is>
          <t>H.H.SH. SHEEMA BINT NASSER BIN HAMAD AL KHALIFA CUP</t>
        </is>
      </c>
      <c r="B130" s="21" t="inlineStr">
        <is>
          <t>Spangled Mac (IRE)</t>
        </is>
      </c>
      <c r="C130" s="21" t="inlineStr">
        <is>
          <t>George Boughey</t>
        </is>
      </c>
      <c r="D130" s="21" t="inlineStr">
        <is>
          <t>GB</t>
        </is>
      </c>
      <c r="E130" s="31" t="n">
        <v>45709</v>
      </c>
      <c r="F130" s="30" t="inlineStr">
        <is>
          <t>5th</t>
        </is>
      </c>
      <c r="G130" s="21" t="n"/>
    </row>
    <row r="131">
      <c r="A131" s="21" t="inlineStr">
        <is>
          <t>HRH THE CROWN PRINCE'S CUP</t>
        </is>
      </c>
      <c r="B131" s="21" t="inlineStr">
        <is>
          <t>Phantom Flight (GB)</t>
        </is>
      </c>
      <c r="C131" s="21" t="inlineStr">
        <is>
          <t>George Scott</t>
        </is>
      </c>
      <c r="D131" s="21" t="inlineStr">
        <is>
          <t>GB</t>
        </is>
      </c>
      <c r="E131" s="31" t="n">
        <v>46053</v>
      </c>
      <c r="F131" s="30" t="inlineStr">
        <is>
          <t>1st</t>
        </is>
      </c>
      <c r="G131" s="21" t="n"/>
    </row>
    <row r="132">
      <c r="A132" s="21" t="inlineStr">
        <is>
          <t>HRH THE CROWN PRINCE'S CUP</t>
        </is>
      </c>
      <c r="B132" s="21" t="inlineStr">
        <is>
          <t>Snellen (IRE)</t>
        </is>
      </c>
      <c r="C132" s="21" t="inlineStr">
        <is>
          <t>Gavin Cromwell</t>
        </is>
      </c>
      <c r="D132" s="21" t="inlineStr">
        <is>
          <t>IRE</t>
        </is>
      </c>
      <c r="E132" s="31" t="n">
        <v>45688</v>
      </c>
      <c r="F132" s="30" t="inlineStr">
        <is>
          <t>4th</t>
        </is>
      </c>
      <c r="G132" s="21" t="n"/>
    </row>
    <row r="133">
      <c r="A133" s="21" t="inlineStr">
        <is>
          <t>HRH THE CROWN PRINCE'S CUP</t>
        </is>
      </c>
      <c r="B133" s="21" t="inlineStr">
        <is>
          <t>Passion And Glory (IRE)</t>
        </is>
      </c>
      <c r="C133" s="21" t="inlineStr">
        <is>
          <t>Saeed Bin Suroor</t>
        </is>
      </c>
      <c r="D133" s="21" t="inlineStr">
        <is>
          <t>UAE</t>
        </is>
      </c>
      <c r="E133" s="31" t="n">
        <v>45688</v>
      </c>
      <c r="F133" s="30" t="inlineStr">
        <is>
          <t>5th</t>
        </is>
      </c>
      <c r="G133" s="21" t="n"/>
    </row>
    <row r="134">
      <c r="A134" s="21" t="inlineStr">
        <is>
          <t>HM THE KING'S CUP</t>
        </is>
      </c>
      <c r="B134" s="21" t="inlineStr">
        <is>
          <t>King Of Conquest (GB)</t>
        </is>
      </c>
      <c r="C134" s="21" t="inlineStr">
        <is>
          <t>Charlie Appleby</t>
        </is>
      </c>
      <c r="D134" s="21" t="inlineStr">
        <is>
          <t>UAE</t>
        </is>
      </c>
      <c r="E134" s="31" t="n">
        <v>45723</v>
      </c>
      <c r="F134" s="30" t="inlineStr">
        <is>
          <t>3rd</t>
        </is>
      </c>
      <c r="G134" s="21" t="n"/>
    </row>
    <row r="135">
      <c r="A135" s="21" t="inlineStr">
        <is>
          <t>HM THE KING'S CUP</t>
        </is>
      </c>
      <c r="B135" s="21" t="inlineStr">
        <is>
          <t>Phantom Flight (GB)</t>
        </is>
      </c>
      <c r="C135" s="21" t="inlineStr">
        <is>
          <t>George Scott</t>
        </is>
      </c>
      <c r="D135" s="21" t="inlineStr">
        <is>
          <t>GB</t>
        </is>
      </c>
      <c r="E135" s="31" t="n">
        <v>45723</v>
      </c>
      <c r="F135" s="30" t="inlineStr">
        <is>
          <t>4th</t>
        </is>
      </c>
      <c r="G135" s="21" t="n"/>
    </row>
    <row r="136">
      <c r="A136" s="21" t="n"/>
      <c r="B136" s="21" t="n"/>
      <c r="C136" s="21" t="n"/>
      <c r="D136" s="21" t="n"/>
      <c r="E136" s="30" t="n"/>
      <c r="F136" s="30" t="n"/>
      <c r="G136" s="21" t="n"/>
    </row>
  </sheetData>
  <autoFilter ref="A24:G55">
    <sortState ref="A25:G64">
      <sortCondition ref="D24:D55"/>
    </sortState>
  </autoFilter>
  <mergeCells count="9">
    <mergeCell ref="A93:G93"/>
    <mergeCell ref="A1:G1"/>
    <mergeCell ref="A90:B90"/>
    <mergeCell ref="A4:G4"/>
    <mergeCell ref="A125:G125"/>
    <mergeCell ref="A89:B89"/>
    <mergeCell ref="A71:G71"/>
    <mergeCell ref="A91:B91"/>
    <mergeCell ref="A23:G2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E7D32"/>
    <outlinePr summaryBelow="1" summaryRight="1"/>
    <pageSetUpPr/>
  </sheetPr>
  <dimension ref="A1:G120"/>
  <sheetViews>
    <sheetView topLeftCell="A43" zoomScaleNormal="100" workbookViewId="0">
      <selection activeCell="C51" sqref="C51"/>
    </sheetView>
  </sheetViews>
  <sheetFormatPr baseColWidth="8" defaultColWidth="8.7109375" defaultRowHeight="14.45"/>
  <cols>
    <col width="33.7109375" bestFit="1" customWidth="1" min="1" max="2"/>
    <col width="28.7109375" bestFit="1" customWidth="1" min="3" max="3"/>
    <col width="30" customWidth="1" min="4" max="4"/>
    <col width="14" customWidth="1" min="5" max="5"/>
    <col width="18" customWidth="1" min="6" max="6"/>
    <col width="30" customWidth="1" min="7" max="7"/>
  </cols>
  <sheetData>
    <row r="1" ht="16.9" customHeight="1">
      <c r="A1" s="48" t="inlineStr">
        <is>
          <t>International Participation — 2025/26 Season</t>
        </is>
      </c>
    </row>
    <row r="4">
      <c r="A4" s="50" t="inlineStr">
        <is>
          <t>SECTION 1: INTERNATIONAL HORSES BY COMPETITION</t>
        </is>
      </c>
      <c r="B4" s="53" t="n"/>
      <c r="C4" s="53" t="n"/>
      <c r="D4" s="53" t="n"/>
      <c r="E4" s="53" t="n"/>
      <c r="F4" s="53" t="n"/>
      <c r="G4" s="53" t="n"/>
    </row>
    <row r="5">
      <c r="A5" s="8" t="inlineStr">
        <is>
          <t>Competition</t>
        </is>
      </c>
      <c r="B5" s="8" t="inlineStr">
        <is>
          <t>Country</t>
        </is>
      </c>
      <c r="C5" s="8" t="inlineStr">
        <is>
          <t>No. of Horses</t>
        </is>
      </c>
      <c r="D5" s="8" t="inlineStr">
        <is>
          <t>Notes</t>
        </is>
      </c>
      <c r="E5" s="8" t="n"/>
      <c r="F5" s="8" t="n"/>
      <c r="G5" s="8" t="n"/>
    </row>
    <row r="6">
      <c r="A6" s="2" t="inlineStr">
        <is>
          <t>BIT</t>
        </is>
      </c>
      <c r="B6" s="2" t="inlineStr">
        <is>
          <t>GB</t>
        </is>
      </c>
      <c r="C6" s="2" t="n">
        <v>4</v>
      </c>
      <c r="D6" s="2" t="n"/>
      <c r="E6" s="2" t="n"/>
      <c r="F6" s="2" t="n"/>
      <c r="G6" s="2" t="n"/>
    </row>
    <row r="7">
      <c r="A7" s="2" t="inlineStr">
        <is>
          <t>BIT</t>
        </is>
      </c>
      <c r="B7" s="2" t="inlineStr">
        <is>
          <t>FR</t>
        </is>
      </c>
      <c r="C7" s="2" t="n">
        <v>1</v>
      </c>
      <c r="D7" s="2" t="n"/>
      <c r="E7" s="2" t="n"/>
      <c r="F7" s="2" t="n"/>
      <c r="G7" s="2" t="n"/>
    </row>
    <row r="8">
      <c r="A8" s="2" t="inlineStr">
        <is>
          <t>BIT</t>
        </is>
      </c>
      <c r="B8" s="2" t="inlineStr">
        <is>
          <t>IRE</t>
        </is>
      </c>
      <c r="C8" s="2" t="n">
        <v>1</v>
      </c>
      <c r="D8" s="2" t="n"/>
      <c r="E8" s="2" t="n"/>
      <c r="F8" s="2" t="n"/>
      <c r="G8" s="2" t="n"/>
    </row>
    <row r="9">
      <c r="A9" s="2" t="inlineStr">
        <is>
          <t>BIT</t>
        </is>
      </c>
      <c r="B9" s="2" t="inlineStr">
        <is>
          <t>UAE</t>
        </is>
      </c>
      <c r="C9" s="2" t="n">
        <v>1</v>
      </c>
      <c r="D9" s="2" t="n"/>
      <c r="E9" s="2" t="n"/>
      <c r="F9" s="2" t="n"/>
      <c r="G9" s="2" t="n"/>
    </row>
    <row r="10">
      <c r="A10" s="2" t="inlineStr">
        <is>
          <t>BTS</t>
        </is>
      </c>
      <c r="B10" s="2" t="inlineStr">
        <is>
          <t>GB</t>
        </is>
      </c>
      <c r="C10" s="2" t="n">
        <v>24</v>
      </c>
      <c r="D10" s="2" t="n"/>
      <c r="E10" s="2" t="n"/>
      <c r="F10" s="2" t="n"/>
      <c r="G10" s="2" t="n"/>
    </row>
    <row r="11">
      <c r="A11" s="2" t="inlineStr">
        <is>
          <t>BTS</t>
        </is>
      </c>
      <c r="B11" s="2" t="inlineStr">
        <is>
          <t>IRE</t>
        </is>
      </c>
      <c r="C11" s="2" t="n">
        <v>3</v>
      </c>
      <c r="D11" s="2" t="n"/>
      <c r="E11" s="2" t="n"/>
      <c r="F11" s="2" t="n"/>
      <c r="G11" s="2" t="n"/>
    </row>
    <row r="12">
      <c r="A12" s="2" t="inlineStr">
        <is>
          <t>HH Shaikh Nasser Cup</t>
        </is>
      </c>
      <c r="B12" s="2" t="inlineStr">
        <is>
          <t>UAE</t>
        </is>
      </c>
      <c r="C12" s="2" t="n">
        <v>1</v>
      </c>
      <c r="D12" s="2" t="n"/>
      <c r="E12" s="2" t="n"/>
      <c r="F12" s="2" t="n"/>
      <c r="G12" s="2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6" t="inlineStr">
        <is>
          <t>TOTAL</t>
        </is>
      </c>
      <c r="B16" s="6" t="n"/>
      <c r="C16" s="6">
        <f>SUM(C6:C15)</f>
        <v/>
      </c>
      <c r="D16" s="6" t="n"/>
      <c r="E16" s="6" t="n"/>
      <c r="F16" s="6" t="n"/>
      <c r="G16" s="6" t="n"/>
    </row>
    <row r="18">
      <c r="A18" s="52" t="inlineStr">
        <is>
          <t>SECTION 2: INTERNATIONAL HORSE REGISTER (list every international horse)</t>
        </is>
      </c>
      <c r="B18" s="53" t="n"/>
      <c r="C18" s="53" t="n"/>
      <c r="D18" s="53" t="n"/>
      <c r="E18" s="53" t="n"/>
      <c r="F18" s="53" t="n"/>
      <c r="G18" s="53" t="n"/>
    </row>
    <row r="19">
      <c r="A19" s="13" t="inlineStr">
        <is>
          <t>Horse Name</t>
        </is>
      </c>
      <c r="B19" s="13" t="inlineStr">
        <is>
          <t>Trainer</t>
        </is>
      </c>
      <c r="C19" s="13" t="inlineStr">
        <is>
          <t>Country</t>
        </is>
      </c>
      <c r="D19" s="13" t="inlineStr">
        <is>
          <t>Competition</t>
        </is>
      </c>
      <c r="E19" s="13" t="inlineStr">
        <is>
          <t>Winner? (Y/N)</t>
        </is>
      </c>
      <c r="F19" s="13" t="inlineStr">
        <is>
          <t>No. of Wins</t>
        </is>
      </c>
      <c r="G19" s="13" t="inlineStr">
        <is>
          <t>Notes</t>
        </is>
      </c>
    </row>
    <row r="20" customFormat="1" s="15">
      <c r="A20" s="20" t="inlineStr">
        <is>
          <t>Royal Champion (IRE)</t>
        </is>
      </c>
      <c r="B20" s="20" t="inlineStr">
        <is>
          <t>Karl Burke</t>
        </is>
      </c>
      <c r="C20" s="20" t="inlineStr">
        <is>
          <t>GB</t>
        </is>
      </c>
      <c r="D20" s="20" t="inlineStr">
        <is>
          <t xml:space="preserve">Bahrain International Trophy </t>
        </is>
      </c>
      <c r="E20" s="20" t="inlineStr">
        <is>
          <t>Y</t>
        </is>
      </c>
      <c r="F20" s="20" t="n">
        <v>1</v>
      </c>
      <c r="G20" s="20" t="n"/>
    </row>
    <row r="21">
      <c r="A21" s="14" t="inlineStr">
        <is>
          <t>Love Is The Law (IRE)</t>
        </is>
      </c>
      <c r="B21" s="14" t="inlineStr">
        <is>
          <t>George Scott</t>
        </is>
      </c>
      <c r="C21" s="14" t="inlineStr">
        <is>
          <t>GB</t>
        </is>
      </c>
      <c r="D21" s="14" t="inlineStr">
        <is>
          <t>Bahrain Turf Series</t>
        </is>
      </c>
      <c r="E21" s="14" t="inlineStr">
        <is>
          <t>Y</t>
        </is>
      </c>
      <c r="F21" s="14" t="n">
        <v>1</v>
      </c>
      <c r="G21" s="14" t="n"/>
    </row>
    <row r="22">
      <c r="A22" s="14" t="inlineStr">
        <is>
          <t>Kendall Roy (GB)</t>
        </is>
      </c>
      <c r="B22" s="14" t="inlineStr">
        <is>
          <t>Katie McGivern</t>
        </is>
      </c>
      <c r="C22" s="14" t="inlineStr">
        <is>
          <t>IRE</t>
        </is>
      </c>
      <c r="D22" s="14" t="inlineStr">
        <is>
          <t>Bahrain Turf Series</t>
        </is>
      </c>
      <c r="E22" s="14" t="inlineStr">
        <is>
          <t>Y</t>
        </is>
      </c>
      <c r="F22" s="14" t="n">
        <v>1</v>
      </c>
      <c r="G22" s="14" t="n"/>
    </row>
    <row r="23">
      <c r="A23" s="14" t="inlineStr">
        <is>
          <t>Nesthorn (GB)</t>
        </is>
      </c>
      <c r="B23" s="14" t="inlineStr">
        <is>
          <t>George Baker</t>
        </is>
      </c>
      <c r="C23" s="14" t="inlineStr">
        <is>
          <t>GB</t>
        </is>
      </c>
      <c r="D23" s="14" t="inlineStr">
        <is>
          <t>Bahrain Turf Series</t>
        </is>
      </c>
      <c r="E23" s="14" t="inlineStr">
        <is>
          <t>Y</t>
        </is>
      </c>
      <c r="F23" s="14" t="n">
        <v>1</v>
      </c>
      <c r="G23" s="14" t="n"/>
    </row>
    <row r="24">
      <c r="A24" s="14" t="inlineStr">
        <is>
          <t>No Retreat (IRE)</t>
        </is>
      </c>
      <c r="B24" s="14" t="inlineStr">
        <is>
          <t>George Scott</t>
        </is>
      </c>
      <c r="C24" s="14" t="inlineStr">
        <is>
          <t>GB</t>
        </is>
      </c>
      <c r="D24" s="14" t="inlineStr">
        <is>
          <t>Bahrain Turf Series</t>
        </is>
      </c>
      <c r="E24" s="14" t="inlineStr">
        <is>
          <t>Y</t>
        </is>
      </c>
      <c r="F24" s="14" t="n">
        <v>2</v>
      </c>
      <c r="G24" s="14" t="inlineStr">
        <is>
          <t>DUAL WINNER</t>
        </is>
      </c>
    </row>
    <row r="25">
      <c r="A25" s="14" t="inlineStr">
        <is>
          <t>Hi Royal (IRE)</t>
        </is>
      </c>
      <c r="B25" s="14" t="inlineStr">
        <is>
          <t>Kevin Ryan</t>
        </is>
      </c>
      <c r="C25" s="14" t="inlineStr">
        <is>
          <t>GB</t>
        </is>
      </c>
      <c r="D25" s="14" t="inlineStr">
        <is>
          <t>Bahrain Turf Series</t>
        </is>
      </c>
      <c r="E25" s="14" t="inlineStr">
        <is>
          <t>Y</t>
        </is>
      </c>
      <c r="F25" s="14" t="n">
        <v>1</v>
      </c>
      <c r="G25" s="14" t="n"/>
    </row>
    <row r="26">
      <c r="A26" s="14" t="inlineStr">
        <is>
          <t>Blue Day (GB)</t>
        </is>
      </c>
      <c r="B26" s="14" t="inlineStr">
        <is>
          <t>George Scott</t>
        </is>
      </c>
      <c r="C26" s="14" t="inlineStr">
        <is>
          <t>GB</t>
        </is>
      </c>
      <c r="D26" s="14" t="inlineStr">
        <is>
          <t>Bahrain Turf Series</t>
        </is>
      </c>
      <c r="E26" s="14" t="inlineStr">
        <is>
          <t>Y</t>
        </is>
      </c>
      <c r="F26" s="14" t="n">
        <v>1</v>
      </c>
      <c r="G26" s="14" t="n"/>
    </row>
    <row r="27">
      <c r="A27" s="14" t="inlineStr">
        <is>
          <t>Another Baar (GB)</t>
        </is>
      </c>
      <c r="B27" s="14" t="inlineStr">
        <is>
          <t>Adrian Keatley</t>
        </is>
      </c>
      <c r="C27" s="14" t="inlineStr">
        <is>
          <t>IRE</t>
        </is>
      </c>
      <c r="D27" s="14" t="inlineStr">
        <is>
          <t>Bahrain Turf Series</t>
        </is>
      </c>
      <c r="E27" s="14" t="inlineStr">
        <is>
          <t>Y</t>
        </is>
      </c>
      <c r="F27" s="14" t="n">
        <v>1</v>
      </c>
      <c r="G27" s="14" t="n"/>
    </row>
    <row r="28">
      <c r="A28" s="14" t="inlineStr">
        <is>
          <t>Phantom Flight (GB)</t>
        </is>
      </c>
      <c r="B28" s="14" t="inlineStr">
        <is>
          <t>George Scott</t>
        </is>
      </c>
      <c r="C28" s="14" t="inlineStr">
        <is>
          <t>GB</t>
        </is>
      </c>
      <c r="D28" s="14" t="inlineStr">
        <is>
          <t>Bahrain Turf Series</t>
        </is>
      </c>
      <c r="E28" s="14" t="inlineStr">
        <is>
          <t>Y</t>
        </is>
      </c>
      <c r="F28" s="14" t="n">
        <v>2</v>
      </c>
      <c r="G28" s="14" t="inlineStr">
        <is>
          <t>DUAL WINNER</t>
        </is>
      </c>
    </row>
    <row r="29">
      <c r="A29" s="14" t="inlineStr">
        <is>
          <t>Nepal (IRE)</t>
        </is>
      </c>
      <c r="B29" s="14" t="inlineStr">
        <is>
          <t>George Scott</t>
        </is>
      </c>
      <c r="C29" s="14" t="inlineStr">
        <is>
          <t>GB</t>
        </is>
      </c>
      <c r="D29" s="14" t="inlineStr">
        <is>
          <t>Bahrain Turf Series</t>
        </is>
      </c>
      <c r="E29" s="14" t="inlineStr">
        <is>
          <t>Y</t>
        </is>
      </c>
      <c r="F29" s="14" t="n">
        <v>1</v>
      </c>
      <c r="G29" s="14" t="n"/>
    </row>
    <row r="30">
      <c r="A30" s="14" t="inlineStr">
        <is>
          <t>Dain Ma Nut In (IRE)</t>
        </is>
      </c>
      <c r="B30" s="14" t="inlineStr">
        <is>
          <t>Lucinda Russell &amp; Michael Scudamore</t>
        </is>
      </c>
      <c r="C30" s="14" t="inlineStr">
        <is>
          <t>GB</t>
        </is>
      </c>
      <c r="D30" s="14" t="inlineStr">
        <is>
          <t>Bahrain Turf Series</t>
        </is>
      </c>
      <c r="E30" s="14" t="inlineStr">
        <is>
          <t>Y</t>
        </is>
      </c>
      <c r="F30" s="14" t="n">
        <v>1</v>
      </c>
      <c r="G30" s="14" t="n"/>
    </row>
    <row r="31">
      <c r="A31" s="14" t="inlineStr">
        <is>
          <t>Dubai Bling (IRE)</t>
        </is>
      </c>
      <c r="B31" s="14" t="inlineStr">
        <is>
          <t>Hugo Palmer</t>
        </is>
      </c>
      <c r="C31" s="14" t="inlineStr">
        <is>
          <t>GB</t>
        </is>
      </c>
      <c r="D31" s="14" t="inlineStr">
        <is>
          <t>Bahrain Turf Series</t>
        </is>
      </c>
      <c r="E31" s="14" t="inlineStr">
        <is>
          <t>Y</t>
        </is>
      </c>
      <c r="F31" s="14" t="n">
        <v>1</v>
      </c>
      <c r="G31" s="14" t="n"/>
    </row>
    <row r="32">
      <c r="A32" s="20" t="inlineStr">
        <is>
          <t>Galen (GB)</t>
        </is>
      </c>
      <c r="B32" s="20" t="inlineStr">
        <is>
          <t>Joseph O'Brien</t>
        </is>
      </c>
      <c r="C32" s="20" t="inlineStr">
        <is>
          <t>IRE</t>
        </is>
      </c>
      <c r="D32" s="20" t="inlineStr">
        <is>
          <t xml:space="preserve">Bahrain International Trophy </t>
        </is>
      </c>
      <c r="E32" s="20" t="inlineStr">
        <is>
          <t>N</t>
        </is>
      </c>
      <c r="F32" s="20" t="n"/>
      <c r="G32" s="20" t="n"/>
    </row>
    <row r="33">
      <c r="A33" s="20" t="inlineStr">
        <is>
          <t>Military Order (IRE)</t>
        </is>
      </c>
      <c r="B33" s="20" t="inlineStr">
        <is>
          <t>Charlie Appleby</t>
        </is>
      </c>
      <c r="C33" s="20" t="inlineStr">
        <is>
          <t>UAE</t>
        </is>
      </c>
      <c r="D33" s="20" t="inlineStr">
        <is>
          <t xml:space="preserve">Bahrain International Trophy </t>
        </is>
      </c>
      <c r="E33" s="20" t="inlineStr">
        <is>
          <t>N</t>
        </is>
      </c>
      <c r="F33" s="20" t="n"/>
      <c r="G33" s="20" t="n"/>
    </row>
    <row r="34">
      <c r="A34" s="20" t="inlineStr">
        <is>
          <t>Pride Of Arras (IRE)</t>
        </is>
      </c>
      <c r="B34" s="20" t="inlineStr">
        <is>
          <t>Ralph Beckett</t>
        </is>
      </c>
      <c r="C34" s="20" t="inlineStr">
        <is>
          <t>GB</t>
        </is>
      </c>
      <c r="D34" s="20" t="inlineStr">
        <is>
          <t xml:space="preserve">Bahrain International Trophy </t>
        </is>
      </c>
      <c r="E34" s="20" t="inlineStr">
        <is>
          <t>N</t>
        </is>
      </c>
      <c r="F34" s="20" t="n"/>
      <c r="G34" s="20" t="n"/>
    </row>
    <row r="35">
      <c r="A35" s="20" t="inlineStr">
        <is>
          <t>Lions Pride (IRE)</t>
        </is>
      </c>
      <c r="B35" s="20" t="inlineStr">
        <is>
          <t>John &amp; Thady Gosden</t>
        </is>
      </c>
      <c r="C35" s="20" t="inlineStr">
        <is>
          <t>GB</t>
        </is>
      </c>
      <c r="D35" s="20" t="inlineStr">
        <is>
          <t xml:space="preserve">Bahrain International Trophy </t>
        </is>
      </c>
      <c r="E35" s="20" t="inlineStr">
        <is>
          <t>N</t>
        </is>
      </c>
      <c r="F35" s="20" t="n"/>
      <c r="G35" s="20" t="n"/>
    </row>
    <row r="36">
      <c r="A36" s="20" t="inlineStr">
        <is>
          <t>Bright Picture (FR)</t>
        </is>
      </c>
      <c r="B36" s="20" t="inlineStr">
        <is>
          <t>Andre Fabre</t>
        </is>
      </c>
      <c r="C36" s="20" t="inlineStr">
        <is>
          <t>FR</t>
        </is>
      </c>
      <c r="D36" s="20" t="inlineStr">
        <is>
          <t xml:space="preserve">Bahrain International Trophy </t>
        </is>
      </c>
      <c r="E36" s="20" t="inlineStr">
        <is>
          <t>N</t>
        </is>
      </c>
      <c r="F36" s="20" t="n"/>
      <c r="G36" s="20" t="n"/>
    </row>
    <row r="37">
      <c r="A37" s="20" t="inlineStr">
        <is>
          <t>Persica (IRE)</t>
        </is>
      </c>
      <c r="B37" s="20" t="inlineStr">
        <is>
          <t>Richard Hannon</t>
        </is>
      </c>
      <c r="C37" s="20" t="inlineStr">
        <is>
          <t>GB</t>
        </is>
      </c>
      <c r="D37" s="20" t="inlineStr">
        <is>
          <t xml:space="preserve">Bahrain International Trophy </t>
        </is>
      </c>
      <c r="E37" s="20" t="inlineStr">
        <is>
          <t>N</t>
        </is>
      </c>
      <c r="F37" s="20" t="n"/>
      <c r="G37" s="20" t="n"/>
    </row>
    <row r="38">
      <c r="A38" s="16" t="inlineStr">
        <is>
          <t>Roman Dragon (GB)</t>
        </is>
      </c>
      <c r="B38" s="16" t="inlineStr">
        <is>
          <t>Hugo Palmer</t>
        </is>
      </c>
      <c r="C38" s="16" t="inlineStr">
        <is>
          <t>GB</t>
        </is>
      </c>
      <c r="D38" s="16" t="inlineStr">
        <is>
          <t>Bahrain Turf Series</t>
        </is>
      </c>
      <c r="E38" s="16" t="inlineStr">
        <is>
          <t>N</t>
        </is>
      </c>
      <c r="F38" s="17" t="n"/>
      <c r="G38" s="17" t="n"/>
    </row>
    <row r="39">
      <c r="A39" s="16" t="inlineStr">
        <is>
          <t>Cheif Mankato (GB)</t>
        </is>
      </c>
      <c r="B39" s="16" t="inlineStr">
        <is>
          <t>Jack Channon</t>
        </is>
      </c>
      <c r="C39" s="16" t="inlineStr">
        <is>
          <t>GB</t>
        </is>
      </c>
      <c r="D39" s="16" t="inlineStr">
        <is>
          <t>Bahrain Turf Series</t>
        </is>
      </c>
      <c r="E39" s="16" t="inlineStr">
        <is>
          <t>N</t>
        </is>
      </c>
      <c r="F39" s="18" t="n"/>
      <c r="G39" s="18" t="n"/>
    </row>
    <row r="40">
      <c r="A40" s="16" t="inlineStr">
        <is>
          <t>Commanche Falls (GB)</t>
        </is>
      </c>
      <c r="B40" s="16" t="inlineStr">
        <is>
          <t>Micheal Dods</t>
        </is>
      </c>
      <c r="C40" s="16" t="inlineStr">
        <is>
          <t>GB</t>
        </is>
      </c>
      <c r="D40" s="16" t="inlineStr">
        <is>
          <t>Bahrain Turf Series</t>
        </is>
      </c>
      <c r="E40" s="16" t="inlineStr">
        <is>
          <t>N</t>
        </is>
      </c>
      <c r="F40" s="18" t="n"/>
      <c r="G40" s="18" t="n"/>
    </row>
    <row r="41">
      <c r="A41" s="16" t="inlineStr">
        <is>
          <t>Northern Express (IRE)</t>
        </is>
      </c>
      <c r="B41" s="16" t="inlineStr">
        <is>
          <t>Micheal Dods</t>
        </is>
      </c>
      <c r="C41" s="16" t="inlineStr">
        <is>
          <t>IRE</t>
        </is>
      </c>
      <c r="D41" s="16" t="inlineStr">
        <is>
          <t>Bahrain Turf Series</t>
        </is>
      </c>
      <c r="E41" s="16" t="inlineStr">
        <is>
          <t>N</t>
        </is>
      </c>
      <c r="F41" s="18" t="n"/>
      <c r="G41" s="18" t="n"/>
    </row>
    <row r="42">
      <c r="A42" s="16" t="inlineStr">
        <is>
          <t>Partisan Hero (IRE)</t>
        </is>
      </c>
      <c r="B42" s="16" t="inlineStr">
        <is>
          <t>David Loughnane</t>
        </is>
      </c>
      <c r="C42" s="16" t="inlineStr">
        <is>
          <t>IRE</t>
        </is>
      </c>
      <c r="D42" s="16" t="inlineStr">
        <is>
          <t>Bahrain Turf Series</t>
        </is>
      </c>
      <c r="E42" s="16" t="inlineStr">
        <is>
          <t>N</t>
        </is>
      </c>
      <c r="F42" s="18" t="n"/>
      <c r="G42" s="18" t="n"/>
    </row>
    <row r="43">
      <c r="A43" s="16" t="inlineStr">
        <is>
          <t>Rocking Ends (GB)</t>
        </is>
      </c>
      <c r="B43" s="16" t="inlineStr">
        <is>
          <t>Tom Clover</t>
        </is>
      </c>
      <c r="C43" s="16" t="inlineStr">
        <is>
          <t>GB</t>
        </is>
      </c>
      <c r="D43" s="16" t="inlineStr">
        <is>
          <t>Bahrain Turf Series</t>
        </is>
      </c>
      <c r="E43" s="16" t="inlineStr">
        <is>
          <t>N</t>
        </is>
      </c>
      <c r="F43" s="18" t="n"/>
      <c r="G43" s="18" t="n"/>
    </row>
    <row r="44">
      <c r="A44" s="16" t="inlineStr">
        <is>
          <t>Oliver Show (IRE)</t>
        </is>
      </c>
      <c r="B44" s="16" t="inlineStr">
        <is>
          <t>George Boughey</t>
        </is>
      </c>
      <c r="C44" s="16" t="inlineStr">
        <is>
          <t>IRE</t>
        </is>
      </c>
      <c r="D44" s="16" t="inlineStr">
        <is>
          <t>Bahrain Turf Series</t>
        </is>
      </c>
      <c r="E44" s="16" t="inlineStr">
        <is>
          <t>N</t>
        </is>
      </c>
      <c r="F44" s="18" t="n"/>
      <c r="G44" s="18" t="n"/>
    </row>
    <row r="45">
      <c r="A45" s="16" t="inlineStr">
        <is>
          <t>Spangled Mac (IRE)</t>
        </is>
      </c>
      <c r="B45" s="16" t="inlineStr">
        <is>
          <t>George Boughey</t>
        </is>
      </c>
      <c r="C45" s="16" t="inlineStr">
        <is>
          <t>IRE</t>
        </is>
      </c>
      <c r="D45" s="16" t="inlineStr">
        <is>
          <t>Bahrain Turf Series</t>
        </is>
      </c>
      <c r="E45" s="16" t="inlineStr">
        <is>
          <t>N</t>
        </is>
      </c>
      <c r="F45" s="18" t="n"/>
      <c r="G45" s="18" t="n"/>
    </row>
    <row r="46">
      <c r="A46" s="16" t="inlineStr">
        <is>
          <t>Arabian Sun (IRE)</t>
        </is>
      </c>
      <c r="B46" s="16" t="inlineStr">
        <is>
          <t>Clive Cox</t>
        </is>
      </c>
      <c r="C46" s="16" t="inlineStr">
        <is>
          <t>IRE</t>
        </is>
      </c>
      <c r="D46" s="16" t="inlineStr">
        <is>
          <t>Bahrain Turf Series</t>
        </is>
      </c>
      <c r="E46" s="16" t="inlineStr">
        <is>
          <t>N</t>
        </is>
      </c>
      <c r="F46" s="18" t="n"/>
      <c r="G46" s="18" t="n"/>
    </row>
    <row r="47">
      <c r="A47" s="16" t="inlineStr">
        <is>
          <t>Up The Pace (IRE)</t>
        </is>
      </c>
      <c r="B47" s="16" t="inlineStr">
        <is>
          <t>Daniel &amp; Claire Kubler</t>
        </is>
      </c>
      <c r="C47" s="16" t="inlineStr">
        <is>
          <t>IRE</t>
        </is>
      </c>
      <c r="D47" s="16" t="inlineStr">
        <is>
          <t>Bahrain Turf Series</t>
        </is>
      </c>
      <c r="E47" s="16" t="inlineStr">
        <is>
          <t>Y</t>
        </is>
      </c>
      <c r="F47" s="16" t="n">
        <v>1</v>
      </c>
      <c r="G47" s="18" t="n"/>
    </row>
    <row r="48">
      <c r="A48" s="16" t="inlineStr">
        <is>
          <t>Max Mayhem (GB)</t>
        </is>
      </c>
      <c r="B48" s="16" t="inlineStr">
        <is>
          <t>George Baker</t>
        </is>
      </c>
      <c r="C48" s="16" t="inlineStr">
        <is>
          <t>GB</t>
        </is>
      </c>
      <c r="D48" s="16" t="inlineStr">
        <is>
          <t>Bahrain Turf Series</t>
        </is>
      </c>
      <c r="E48" s="16" t="inlineStr">
        <is>
          <t>N</t>
        </is>
      </c>
      <c r="F48" s="18" t="n"/>
      <c r="G48" s="18" t="n"/>
    </row>
    <row r="49">
      <c r="A49" s="16" t="inlineStr">
        <is>
          <t>Gordon Grey (IRE)</t>
        </is>
      </c>
      <c r="B49" s="16" t="inlineStr">
        <is>
          <t>George Baker</t>
        </is>
      </c>
      <c r="C49" s="16" t="inlineStr">
        <is>
          <t>IRE</t>
        </is>
      </c>
      <c r="D49" s="16" t="inlineStr">
        <is>
          <t>Bahrain Turf Series</t>
        </is>
      </c>
      <c r="E49" s="16" t="inlineStr">
        <is>
          <t>N</t>
        </is>
      </c>
      <c r="F49" s="18" t="n"/>
      <c r="G49" s="18" t="n"/>
    </row>
    <row r="50" ht="15" customHeight="1">
      <c r="A50" s="19" t="inlineStr">
        <is>
          <t>Desert Cop (GB)</t>
        </is>
      </c>
      <c r="B50" s="19" t="inlineStr">
        <is>
          <t>George Baker</t>
        </is>
      </c>
      <c r="C50" s="19" t="inlineStr">
        <is>
          <t>GB</t>
        </is>
      </c>
      <c r="D50" s="16" t="inlineStr">
        <is>
          <t>Bahrain Turf Series</t>
        </is>
      </c>
      <c r="E50" s="19" t="inlineStr">
        <is>
          <t>N</t>
        </is>
      </c>
      <c r="F50" s="19" t="n"/>
      <c r="G50" s="19" t="n"/>
    </row>
    <row r="51" ht="15" customHeight="1">
      <c r="A51" s="19" t="inlineStr">
        <is>
          <t>Cloud Seeker (GB)</t>
        </is>
      </c>
      <c r="B51" s="19" t="inlineStr">
        <is>
          <t>George Baker</t>
        </is>
      </c>
      <c r="C51" s="19" t="inlineStr">
        <is>
          <t xml:space="preserve">GB </t>
        </is>
      </c>
      <c r="D51" s="16" t="inlineStr">
        <is>
          <t>Bahrain Turf Series</t>
        </is>
      </c>
      <c r="E51" s="19" t="inlineStr">
        <is>
          <t>N</t>
        </is>
      </c>
      <c r="F51" s="19" t="n"/>
      <c r="G51" s="19" t="n"/>
    </row>
    <row r="52" ht="15" customHeight="1">
      <c r="A52" s="19" t="inlineStr">
        <is>
          <t>Wave Rider (GB)</t>
        </is>
      </c>
      <c r="B52" s="19" t="inlineStr">
        <is>
          <t>George Scott</t>
        </is>
      </c>
      <c r="C52" s="19" t="inlineStr">
        <is>
          <t xml:space="preserve">GB </t>
        </is>
      </c>
      <c r="D52" s="16" t="inlineStr">
        <is>
          <t>Bahrain Turf Series</t>
        </is>
      </c>
      <c r="E52" s="19" t="inlineStr">
        <is>
          <t>N</t>
        </is>
      </c>
      <c r="F52" s="19" t="n"/>
      <c r="G52" s="19" t="n"/>
    </row>
    <row r="53" ht="15" customHeight="1">
      <c r="A53" s="19" t="inlineStr">
        <is>
          <t>Slieve Binnian (IRE)</t>
        </is>
      </c>
      <c r="B53" s="19" t="inlineStr">
        <is>
          <t>David Marnane</t>
        </is>
      </c>
      <c r="C53" s="19" t="inlineStr">
        <is>
          <t>IRE</t>
        </is>
      </c>
      <c r="D53" s="16" t="inlineStr">
        <is>
          <t>Bahrain Turf Series</t>
        </is>
      </c>
      <c r="E53" s="19" t="inlineStr">
        <is>
          <t>N</t>
        </is>
      </c>
      <c r="F53" s="19" t="n"/>
      <c r="G53" s="19" t="n"/>
    </row>
    <row r="54">
      <c r="A54" s="19" t="inlineStr">
        <is>
          <t>Bedouin Prince (IRE)</t>
        </is>
      </c>
      <c r="B54" s="19" t="inlineStr">
        <is>
          <t>Charlie Appleby</t>
        </is>
      </c>
      <c r="C54" s="19" t="inlineStr">
        <is>
          <t>UAE</t>
        </is>
      </c>
      <c r="D54" s="19" t="inlineStr">
        <is>
          <t>HH Shaikh Nasser Cup</t>
        </is>
      </c>
      <c r="E54" s="19" t="inlineStr">
        <is>
          <t>N</t>
        </is>
      </c>
      <c r="F54" s="19" t="n"/>
      <c r="G54" s="19" t="n"/>
    </row>
    <row r="55">
      <c r="A55" s="6" t="inlineStr">
        <is>
          <t>TOTALS:</t>
        </is>
      </c>
      <c r="B55" s="6" t="n"/>
      <c r="C55" s="6" t="n"/>
      <c r="D55" s="6" t="n"/>
      <c r="E55" s="6">
        <f>COUNTIF(E20:E54,"Y")</f>
        <v/>
      </c>
      <c r="F55" s="6">
        <f>SUM(F20:F54)</f>
        <v/>
      </c>
      <c r="G55" s="6" t="n"/>
    </row>
    <row r="57">
      <c r="A57" s="50" t="inlineStr">
        <is>
          <t>SECTION 3: INTERNATIONAL WINNERS</t>
        </is>
      </c>
      <c r="B57" s="53" t="n"/>
      <c r="C57" s="53" t="n"/>
      <c r="D57" s="53" t="n"/>
      <c r="E57" s="53" t="n"/>
      <c r="F57" s="53" t="n"/>
      <c r="G57" s="53" t="n"/>
    </row>
    <row r="58">
      <c r="A58" s="8" t="inlineStr">
        <is>
          <t>Horse</t>
        </is>
      </c>
      <c r="B58" s="8" t="inlineStr">
        <is>
          <t>Trainer</t>
        </is>
      </c>
      <c r="C58" s="8" t="inlineStr">
        <is>
          <t>Country</t>
        </is>
      </c>
      <c r="D58" s="8" t="inlineStr">
        <is>
          <t>Race</t>
        </is>
      </c>
      <c r="E58" s="8" t="inlineStr">
        <is>
          <t>Date</t>
        </is>
      </c>
      <c r="F58" s="8" t="inlineStr">
        <is>
          <t>Win # for Horse</t>
        </is>
      </c>
      <c r="G58" s="8" t="inlineStr">
        <is>
          <t>Notes</t>
        </is>
      </c>
    </row>
    <row r="59">
      <c r="A59" s="2" t="inlineStr">
        <is>
          <t>Royal Champion (IRE)</t>
        </is>
      </c>
      <c r="B59" s="2" t="inlineStr">
        <is>
          <t>Karl Burke</t>
        </is>
      </c>
      <c r="C59" s="2" t="inlineStr">
        <is>
          <t>GB</t>
        </is>
      </c>
      <c r="D59" s="12" t="inlineStr">
        <is>
          <t>Bahrain International Trophy</t>
        </is>
      </c>
      <c r="E59" s="2" t="inlineStr">
        <is>
          <t>14/11/25</t>
        </is>
      </c>
      <c r="F59" s="2" t="n">
        <v>1</v>
      </c>
      <c r="G59" s="2" t="n"/>
    </row>
    <row r="60">
      <c r="A60" s="2" t="inlineStr">
        <is>
          <t>Love Is The Law (IRE)</t>
        </is>
      </c>
      <c r="B60" s="2" t="inlineStr">
        <is>
          <t>George Scott</t>
        </is>
      </c>
      <c r="C60" s="2" t="inlineStr">
        <is>
          <t>GB</t>
        </is>
      </c>
      <c r="D60" s="2" t="inlineStr">
        <is>
          <t>Dallah Cup</t>
        </is>
      </c>
      <c r="E60" s="2" t="inlineStr">
        <is>
          <t>18/12/25</t>
        </is>
      </c>
      <c r="F60" s="2" t="n">
        <v>1</v>
      </c>
      <c r="G60" s="2" t="n"/>
    </row>
    <row r="61">
      <c r="A61" s="2" t="inlineStr">
        <is>
          <t>Kendall Roy (GB)</t>
        </is>
      </c>
      <c r="B61" s="2" t="inlineStr">
        <is>
          <t>Katie McGivern</t>
        </is>
      </c>
      <c r="C61" s="2" t="inlineStr">
        <is>
          <t>IRE</t>
        </is>
      </c>
      <c r="D61" s="11" t="inlineStr">
        <is>
          <t>Al Manama Cup</t>
        </is>
      </c>
      <c r="E61" s="2" t="inlineStr">
        <is>
          <t>19/12/25</t>
        </is>
      </c>
      <c r="F61" s="2" t="n">
        <v>1</v>
      </c>
      <c r="G61" s="2" t="n"/>
    </row>
    <row r="62">
      <c r="A62" s="2" t="inlineStr">
        <is>
          <t>Nesthorn (GB)</t>
        </is>
      </c>
      <c r="B62" s="2" t="inlineStr">
        <is>
          <t>George Baker</t>
        </is>
      </c>
      <c r="C62" s="2" t="inlineStr">
        <is>
          <t>GB</t>
        </is>
      </c>
      <c r="D62" s="11" t="inlineStr">
        <is>
          <t>Al Muharraq Cup</t>
        </is>
      </c>
      <c r="E62" s="2" t="inlineStr">
        <is>
          <t>19/12/25</t>
        </is>
      </c>
      <c r="F62" s="2" t="n">
        <v>1</v>
      </c>
      <c r="G62" s="2" t="n"/>
    </row>
    <row r="63">
      <c r="A63" s="2" t="inlineStr">
        <is>
          <t>No Retreat (IRE)</t>
        </is>
      </c>
      <c r="B63" s="2" t="inlineStr">
        <is>
          <t>George Scott</t>
        </is>
      </c>
      <c r="C63" s="2" t="inlineStr">
        <is>
          <t>GB</t>
        </is>
      </c>
      <c r="D63" s="2" t="inlineStr">
        <is>
          <t>Southern Governate Cup</t>
        </is>
      </c>
      <c r="E63" s="2" t="inlineStr">
        <is>
          <t>02/01/26</t>
        </is>
      </c>
      <c r="F63" s="2" t="n">
        <v>1</v>
      </c>
      <c r="G63" s="2" t="n"/>
    </row>
    <row r="64">
      <c r="A64" s="2" t="inlineStr">
        <is>
          <t>Hi Royal (IRE)</t>
        </is>
      </c>
      <c r="B64" s="2" t="inlineStr">
        <is>
          <t>Kevin Ryan</t>
        </is>
      </c>
      <c r="C64" s="2" t="inlineStr">
        <is>
          <t>GB</t>
        </is>
      </c>
      <c r="D64" s="11" t="inlineStr">
        <is>
          <t>Al Dana Cup</t>
        </is>
      </c>
      <c r="E64" s="2" t="inlineStr">
        <is>
          <t>02/01/26</t>
        </is>
      </c>
      <c r="F64" s="2" t="n">
        <v>1</v>
      </c>
      <c r="G64" s="2" t="n"/>
    </row>
    <row r="65">
      <c r="A65" s="2" t="inlineStr">
        <is>
          <t>Blue Day (GB)</t>
        </is>
      </c>
      <c r="B65" s="2" t="inlineStr">
        <is>
          <t>George Scott</t>
        </is>
      </c>
      <c r="C65" s="2" t="inlineStr">
        <is>
          <t>GB</t>
        </is>
      </c>
      <c r="D65" s="2" t="inlineStr">
        <is>
          <t>stc Bahrain Sprint Cup</t>
        </is>
      </c>
      <c r="E65" s="2" t="inlineStr">
        <is>
          <t>09/01/26</t>
        </is>
      </c>
      <c r="F65" s="2" t="n">
        <v>1</v>
      </c>
      <c r="G65" s="2" t="n"/>
    </row>
    <row r="66">
      <c r="A66" s="2" t="inlineStr">
        <is>
          <t>Another Baar (GB)</t>
        </is>
      </c>
      <c r="B66" s="2" t="inlineStr">
        <is>
          <t>Adrian Keatley</t>
        </is>
      </c>
      <c r="C66" s="2" t="inlineStr">
        <is>
          <t>IRE</t>
        </is>
      </c>
      <c r="D66" s="11" t="inlineStr">
        <is>
          <t>Al Wasmiya Cup</t>
        </is>
      </c>
      <c r="E66" s="2" t="inlineStr">
        <is>
          <t>16/01/26</t>
        </is>
      </c>
      <c r="F66" s="2" t="n">
        <v>1</v>
      </c>
      <c r="G66" s="2" t="n"/>
    </row>
    <row r="67">
      <c r="A67" s="2" t="inlineStr">
        <is>
          <t>Phantom Flight (GB)</t>
        </is>
      </c>
      <c r="B67" s="2" t="inlineStr">
        <is>
          <t>George Scott</t>
        </is>
      </c>
      <c r="C67" s="2" t="inlineStr">
        <is>
          <t>GB</t>
        </is>
      </c>
      <c r="D67" s="11" t="inlineStr">
        <is>
          <t>Al Adiyat Cup</t>
        </is>
      </c>
      <c r="E67" s="2" t="inlineStr">
        <is>
          <t>16/01/26</t>
        </is>
      </c>
      <c r="F67" s="2" t="n">
        <v>1</v>
      </c>
      <c r="G67" s="2" t="n"/>
    </row>
    <row r="68">
      <c r="A68" s="2" t="inlineStr">
        <is>
          <t>Nepal (IRE)</t>
        </is>
      </c>
      <c r="B68" s="2" t="inlineStr">
        <is>
          <t>George Scott</t>
        </is>
      </c>
      <c r="C68" s="2" t="inlineStr">
        <is>
          <t>GB</t>
        </is>
      </c>
      <c r="D68" s="2" t="inlineStr">
        <is>
          <t>Investcorp Cup</t>
        </is>
      </c>
      <c r="E68" s="2" t="inlineStr">
        <is>
          <t>29/01/26</t>
        </is>
      </c>
      <c r="F68" s="2" t="n">
        <v>1</v>
      </c>
      <c r="G68" s="2" t="n"/>
    </row>
    <row r="69">
      <c r="A69" s="2" t="inlineStr">
        <is>
          <t>Dain Ma Nut In (IRE)</t>
        </is>
      </c>
      <c r="B69" s="2" t="inlineStr">
        <is>
          <t>Lucinda Russell &amp; Michael Scudamore</t>
        </is>
      </c>
      <c r="C69" s="2" t="inlineStr">
        <is>
          <t>GB</t>
        </is>
      </c>
      <c r="D69" s="11" t="inlineStr">
        <is>
          <t>Anchorman Cup</t>
        </is>
      </c>
      <c r="E69" s="2" t="inlineStr">
        <is>
          <t>29/01/26</t>
        </is>
      </c>
      <c r="F69" s="2" t="n">
        <v>1</v>
      </c>
      <c r="G69" s="2" t="n"/>
    </row>
    <row r="70">
      <c r="A70" s="2" t="inlineStr">
        <is>
          <t>No Retreat (IRE)</t>
        </is>
      </c>
      <c r="B70" s="2" t="inlineStr">
        <is>
          <t>George Scott</t>
        </is>
      </c>
      <c r="C70" s="2" t="inlineStr">
        <is>
          <t>GB</t>
        </is>
      </c>
      <c r="D70" s="2" t="inlineStr">
        <is>
          <t>Bahrain Mile</t>
        </is>
      </c>
      <c r="E70" s="2" t="inlineStr">
        <is>
          <t>30/01/26</t>
        </is>
      </c>
      <c r="F70" s="2" t="n">
        <v>2</v>
      </c>
      <c r="G70" s="2" t="inlineStr">
        <is>
          <t>DUAL WINNER</t>
        </is>
      </c>
    </row>
    <row r="71">
      <c r="A71" s="2" t="inlineStr">
        <is>
          <t>Dubai Bling (IRE)</t>
        </is>
      </c>
      <c r="B71" s="2" t="inlineStr">
        <is>
          <t>Hugo Palmer</t>
        </is>
      </c>
      <c r="C71" s="2" t="inlineStr">
        <is>
          <t>GB</t>
        </is>
      </c>
      <c r="D71" s="11" t="inlineStr">
        <is>
          <t>Al Fateh Cup</t>
        </is>
      </c>
      <c r="E71" s="2" t="inlineStr">
        <is>
          <t>02/04/26</t>
        </is>
      </c>
      <c r="F71" s="2" t="n">
        <v>1</v>
      </c>
      <c r="G71" s="2" t="n"/>
    </row>
    <row r="72">
      <c r="A72" s="2" t="inlineStr">
        <is>
          <t>Phantom Flight (GB)</t>
        </is>
      </c>
      <c r="B72" s="2" t="inlineStr">
        <is>
          <t>George Scott</t>
        </is>
      </c>
      <c r="C72" s="2" t="inlineStr">
        <is>
          <t>GB</t>
        </is>
      </c>
      <c r="D72" s="12" t="inlineStr">
        <is>
          <t>HM The King's Cup</t>
        </is>
      </c>
      <c r="E72" s="2" t="inlineStr">
        <is>
          <t>03/04/26</t>
        </is>
      </c>
      <c r="F72" s="2" t="n">
        <v>2</v>
      </c>
      <c r="G72" s="2" t="inlineStr">
        <is>
          <t>DUAL WINNER</t>
        </is>
      </c>
    </row>
    <row r="74">
      <c r="A74" s="46" t="inlineStr">
        <is>
          <t>Total International Wins:</t>
        </is>
      </c>
      <c r="B74" s="53" t="n"/>
      <c r="C74" s="6">
        <f>COUNTA(A59:A72)</f>
        <v/>
      </c>
      <c r="D74" s="7" t="n"/>
      <c r="E74" s="7" t="n"/>
      <c r="F74" s="7" t="n"/>
      <c r="G74" s="7" t="n"/>
    </row>
    <row r="75">
      <c r="A75" s="46" t="inlineStr">
        <is>
          <t>Individual Winning Horses:</t>
        </is>
      </c>
      <c r="B75" s="53" t="n"/>
      <c r="C75" s="6">
        <f>COUNTIF(F59:F72,1)</f>
        <v/>
      </c>
      <c r="D75" s="7" t="n"/>
      <c r="E75" s="7" t="n"/>
      <c r="F75" s="7" t="n"/>
      <c r="G75" s="7" t="n"/>
    </row>
    <row r="76">
      <c r="A76" s="46" t="inlineStr">
        <is>
          <t>Dual+ Winners:</t>
        </is>
      </c>
      <c r="B76" s="53" t="n"/>
      <c r="C76" s="6">
        <f>C74-C75</f>
        <v/>
      </c>
      <c r="D76" s="7" t="n"/>
      <c r="E76" s="7" t="n"/>
      <c r="F76" s="7" t="n"/>
      <c r="G76" s="7" t="n"/>
    </row>
    <row r="78">
      <c r="A78" s="50" t="inlineStr">
        <is>
          <t>SECTION 4: INTERNATIONAL TRAINERS</t>
        </is>
      </c>
      <c r="B78" s="53" t="n"/>
      <c r="C78" s="53" t="n"/>
      <c r="D78" s="53" t="n"/>
      <c r="E78" s="53" t="n"/>
      <c r="F78" s="53" t="n"/>
      <c r="G78" s="53" t="n"/>
    </row>
    <row r="79">
      <c r="A79" s="10" t="inlineStr">
        <is>
          <t>Bahrain International Trophy</t>
        </is>
      </c>
    </row>
    <row r="80">
      <c r="A80" s="8" t="inlineStr">
        <is>
          <t>Trainer</t>
        </is>
      </c>
      <c r="B80" s="8" t="inlineStr">
        <is>
          <t>Country</t>
        </is>
      </c>
      <c r="C80" s="8" t="inlineStr">
        <is>
          <t>Notes</t>
        </is>
      </c>
      <c r="D80" s="8" t="n"/>
      <c r="E80" s="8" t="n"/>
      <c r="F80" s="8" t="n"/>
      <c r="G80" s="8" t="n"/>
    </row>
    <row r="81">
      <c r="A81" s="2" t="inlineStr">
        <is>
          <t>Karl Burke</t>
        </is>
      </c>
      <c r="B81" s="2" t="inlineStr">
        <is>
          <t>GB</t>
        </is>
      </c>
      <c r="C81" s="2" t="n"/>
      <c r="D81" s="2" t="n"/>
      <c r="E81" s="2" t="n"/>
      <c r="F81" s="2" t="n"/>
      <c r="G81" s="2" t="n"/>
    </row>
    <row r="82">
      <c r="A82" s="2" t="inlineStr">
        <is>
          <t>Joseph O'Brien</t>
        </is>
      </c>
      <c r="B82" s="2" t="inlineStr">
        <is>
          <t>IRE</t>
        </is>
      </c>
      <c r="C82" s="2" t="n"/>
      <c r="D82" s="2" t="n"/>
      <c r="E82" s="2" t="n"/>
      <c r="F82" s="2" t="n"/>
      <c r="G82" s="2" t="n"/>
    </row>
    <row r="83">
      <c r="A83" s="2" t="inlineStr">
        <is>
          <t>Charlie Appleby</t>
        </is>
      </c>
      <c r="B83" s="2" t="inlineStr">
        <is>
          <t>UAE</t>
        </is>
      </c>
      <c r="C83" s="2" t="n"/>
      <c r="D83" s="2" t="n"/>
      <c r="E83" s="2" t="n"/>
      <c r="F83" s="2" t="n"/>
      <c r="G83" s="2" t="n"/>
    </row>
    <row r="84">
      <c r="A84" s="2" t="inlineStr">
        <is>
          <t>Ralph Beckett</t>
        </is>
      </c>
      <c r="B84" s="2" t="inlineStr">
        <is>
          <t>GB</t>
        </is>
      </c>
      <c r="C84" s="2" t="n"/>
      <c r="D84" s="2" t="n"/>
      <c r="E84" s="2" t="n"/>
      <c r="F84" s="2" t="n"/>
      <c r="G84" s="2" t="n"/>
    </row>
    <row r="85">
      <c r="A85" s="2" t="inlineStr">
        <is>
          <t>John &amp; Thady Gosden</t>
        </is>
      </c>
      <c r="B85" s="2" t="inlineStr">
        <is>
          <t>GB</t>
        </is>
      </c>
      <c r="C85" s="2" t="n"/>
      <c r="D85" s="2" t="n"/>
      <c r="E85" s="2" t="n"/>
      <c r="F85" s="2" t="n"/>
      <c r="G85" s="2" t="n"/>
    </row>
    <row r="86">
      <c r="A86" s="2" t="inlineStr">
        <is>
          <t>Andre Fabre</t>
        </is>
      </c>
      <c r="B86" s="2" t="inlineStr">
        <is>
          <t>FR</t>
        </is>
      </c>
      <c r="C86" s="2" t="n"/>
      <c r="D86" s="2" t="n"/>
      <c r="E86" s="2" t="n"/>
      <c r="F86" s="2" t="n"/>
      <c r="G86" s="2" t="n"/>
    </row>
    <row r="87">
      <c r="A87" s="2" t="inlineStr">
        <is>
          <t>Richard Hannon</t>
        </is>
      </c>
      <c r="B87" s="2" t="inlineStr">
        <is>
          <t>GB</t>
        </is>
      </c>
      <c r="C87" s="2" t="n"/>
      <c r="D87" s="2" t="n"/>
      <c r="E87" s="2" t="n"/>
      <c r="F87" s="2" t="n"/>
      <c r="G87" s="2" t="n"/>
    </row>
    <row r="89">
      <c r="A89" s="10" t="inlineStr">
        <is>
          <t>Bahrain Turf Series</t>
        </is>
      </c>
    </row>
    <row r="90">
      <c r="A90" s="8" t="inlineStr">
        <is>
          <t>Trainer</t>
        </is>
      </c>
      <c r="B90" s="8" t="inlineStr">
        <is>
          <t>Country</t>
        </is>
      </c>
      <c r="C90" s="8" t="inlineStr">
        <is>
          <t>Notes</t>
        </is>
      </c>
      <c r="D90" s="8" t="n"/>
      <c r="E90" s="8" t="n"/>
      <c r="F90" s="8" t="n"/>
      <c r="G90" s="8" t="n"/>
    </row>
    <row r="91">
      <c r="A91" s="2" t="inlineStr">
        <is>
          <t>George Scott</t>
        </is>
      </c>
      <c r="B91" s="2" t="inlineStr">
        <is>
          <t>GB</t>
        </is>
      </c>
      <c r="C91" s="2" t="n"/>
      <c r="D91" s="2" t="n"/>
      <c r="E91" s="2" t="n"/>
      <c r="F91" s="2" t="n"/>
      <c r="G91" s="2" t="n"/>
    </row>
    <row r="92">
      <c r="A92" s="2" t="inlineStr">
        <is>
          <t>George Baker</t>
        </is>
      </c>
      <c r="B92" s="2" t="inlineStr">
        <is>
          <t>GB</t>
        </is>
      </c>
      <c r="C92" s="2" t="n"/>
      <c r="D92" s="2" t="n"/>
      <c r="E92" s="2" t="n"/>
      <c r="F92" s="2" t="n"/>
      <c r="G92" s="2" t="n"/>
    </row>
    <row r="93">
      <c r="A93" s="2" t="inlineStr">
        <is>
          <t>George Boughey</t>
        </is>
      </c>
      <c r="B93" s="2" t="inlineStr">
        <is>
          <t>GB</t>
        </is>
      </c>
      <c r="C93" s="2" t="n"/>
      <c r="D93" s="2" t="n"/>
      <c r="E93" s="2" t="n"/>
      <c r="F93" s="2" t="n"/>
      <c r="G93" s="2" t="n"/>
    </row>
    <row r="94">
      <c r="A94" s="2" t="inlineStr">
        <is>
          <t>Michael Dods</t>
        </is>
      </c>
      <c r="B94" s="2" t="inlineStr">
        <is>
          <t>GB</t>
        </is>
      </c>
      <c r="C94" s="2" t="n"/>
      <c r="D94" s="2" t="n"/>
      <c r="E94" s="2" t="n"/>
      <c r="F94" s="2" t="n"/>
      <c r="G94" s="2" t="n"/>
    </row>
    <row r="95">
      <c r="A95" s="2" t="inlineStr">
        <is>
          <t>Hugo Palmer</t>
        </is>
      </c>
      <c r="B95" s="2" t="inlineStr">
        <is>
          <t>GB</t>
        </is>
      </c>
      <c r="C95" s="2" t="n"/>
      <c r="D95" s="2" t="n"/>
      <c r="E95" s="2" t="n"/>
      <c r="F95" s="2" t="n"/>
      <c r="G95" s="2" t="n"/>
    </row>
    <row r="96">
      <c r="A96" s="2" t="inlineStr">
        <is>
          <t>Tom Clover</t>
        </is>
      </c>
      <c r="B96" s="2" t="inlineStr">
        <is>
          <t>GB</t>
        </is>
      </c>
      <c r="C96" s="2" t="n"/>
      <c r="D96" s="2" t="n"/>
      <c r="E96" s="2" t="n"/>
      <c r="F96" s="2" t="n"/>
      <c r="G96" s="2" t="n"/>
    </row>
    <row r="97">
      <c r="A97" s="2" t="inlineStr">
        <is>
          <t>Adrian Keatley</t>
        </is>
      </c>
      <c r="B97" s="2" t="inlineStr">
        <is>
          <t>IRE</t>
        </is>
      </c>
      <c r="C97" s="2" t="n"/>
      <c r="D97" s="2" t="n"/>
      <c r="E97" s="2" t="n"/>
      <c r="F97" s="2" t="n"/>
      <c r="G97" s="2" t="n"/>
    </row>
    <row r="98">
      <c r="A98" s="2" t="inlineStr">
        <is>
          <t>Kevin Ryan</t>
        </is>
      </c>
      <c r="B98" s="2" t="inlineStr">
        <is>
          <t>GB</t>
        </is>
      </c>
      <c r="C98" s="2" t="n"/>
      <c r="D98" s="2" t="n"/>
      <c r="E98" s="2" t="n"/>
      <c r="F98" s="2" t="n"/>
      <c r="G98" s="2" t="n"/>
    </row>
    <row r="99">
      <c r="A99" s="2" t="inlineStr">
        <is>
          <t>Clive Cox</t>
        </is>
      </c>
      <c r="B99" s="2" t="inlineStr">
        <is>
          <t>GB</t>
        </is>
      </c>
      <c r="C99" s="2" t="n"/>
      <c r="D99" s="2" t="n"/>
      <c r="E99" s="2" t="n"/>
      <c r="F99" s="2" t="n"/>
      <c r="G99" s="2" t="n"/>
    </row>
    <row r="100">
      <c r="A100" s="2" t="inlineStr">
        <is>
          <t>David Loughnane</t>
        </is>
      </c>
      <c r="B100" s="2" t="inlineStr">
        <is>
          <t>GB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David Marnane</t>
        </is>
      </c>
      <c r="B101" s="2" t="inlineStr">
        <is>
          <t>IRE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Katie McGivern</t>
        </is>
      </c>
      <c r="B102" s="2" t="inlineStr">
        <is>
          <t>IRE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Andrew Slattery</t>
        </is>
      </c>
      <c r="B103" s="2" t="inlineStr">
        <is>
          <t>IRE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Lucinda Russell &amp; Michael Scudamore</t>
        </is>
      </c>
      <c r="B104" s="2" t="inlineStr">
        <is>
          <t>GB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Jack Channon</t>
        </is>
      </c>
      <c r="B105" s="2" t="inlineStr">
        <is>
          <t>GB</t>
        </is>
      </c>
      <c r="C105" s="2" t="n"/>
      <c r="D105" s="2" t="n"/>
      <c r="E105" s="2" t="n"/>
      <c r="F105" s="2" t="n"/>
      <c r="G105" s="2" t="n"/>
    </row>
    <row r="107">
      <c r="A107" s="6" t="inlineStr">
        <is>
          <t>Total International Trainers:</t>
        </is>
      </c>
      <c r="B107" s="6" t="n">
        <v>22</v>
      </c>
      <c r="C107" s="6" t="n"/>
      <c r="D107" s="6" t="n"/>
      <c r="E107" s="6" t="n"/>
      <c r="F107" s="6" t="n"/>
      <c r="G107" s="6" t="n"/>
    </row>
    <row r="109">
      <c r="A109" s="50" t="inlineStr">
        <is>
          <t>SECTION 5: ADDITIONAL INT'L RACES (HH Shaikh Nasser Cup, Crown Prince Cup, King's Cup)</t>
        </is>
      </c>
      <c r="B109" s="53" t="n"/>
      <c r="C109" s="53" t="n"/>
      <c r="D109" s="53" t="n"/>
      <c r="E109" s="53" t="n"/>
      <c r="F109" s="53" t="n"/>
      <c r="G109" s="53" t="n"/>
    </row>
    <row r="110">
      <c r="A110" s="8" t="inlineStr">
        <is>
          <t>Race Name</t>
        </is>
      </c>
      <c r="B110" s="8" t="inlineStr">
        <is>
          <t>Horse</t>
        </is>
      </c>
      <c r="C110" s="8" t="inlineStr">
        <is>
          <t>Trainer</t>
        </is>
      </c>
      <c r="D110" s="8" t="inlineStr">
        <is>
          <t>Country</t>
        </is>
      </c>
      <c r="E110" s="8" t="inlineStr">
        <is>
          <t>Date</t>
        </is>
      </c>
      <c r="F110" s="8" t="inlineStr">
        <is>
          <t>Result</t>
        </is>
      </c>
      <c r="G110" s="8" t="inlineStr">
        <is>
          <t>Notes</t>
        </is>
      </c>
    </row>
    <row r="111">
      <c r="A111" s="21" t="inlineStr">
        <is>
          <t>HH Shaikh Nasser Cup</t>
        </is>
      </c>
      <c r="B111" s="21" t="inlineStr">
        <is>
          <t>Bedouin Prince (IRE)</t>
        </is>
      </c>
      <c r="C111" s="21" t="inlineStr">
        <is>
          <t>Charlie Appleby</t>
        </is>
      </c>
      <c r="D111" s="30" t="inlineStr">
        <is>
          <t>UAE</t>
        </is>
      </c>
      <c r="E111" s="31" t="n">
        <v>46072</v>
      </c>
      <c r="F111" s="31" t="inlineStr">
        <is>
          <t>2nd</t>
        </is>
      </c>
      <c r="G111" s="21" t="n"/>
    </row>
    <row r="112">
      <c r="A112" s="21" t="inlineStr">
        <is>
          <t>HH Shaikh Nasser Cup</t>
        </is>
      </c>
      <c r="B112" s="21" t="inlineStr">
        <is>
          <t>Dain Ma Nut In (IRE)</t>
        </is>
      </c>
      <c r="C112" s="21" t="inlineStr">
        <is>
          <t>Lucinda Russell &amp; M Scudamore</t>
        </is>
      </c>
      <c r="D112" s="30" t="inlineStr">
        <is>
          <t>GB</t>
        </is>
      </c>
      <c r="E112" s="31" t="n">
        <v>46072</v>
      </c>
      <c r="F112" s="30" t="inlineStr">
        <is>
          <t>7th</t>
        </is>
      </c>
      <c r="G112" s="21" t="n"/>
    </row>
    <row r="113">
      <c r="A113" s="21" t="inlineStr">
        <is>
          <t>HH Shaikh Nasser Cup</t>
        </is>
      </c>
      <c r="B113" s="21" t="inlineStr">
        <is>
          <t>Gorden Grey (IRE)</t>
        </is>
      </c>
      <c r="C113" s="21" t="inlineStr">
        <is>
          <t>George Baker</t>
        </is>
      </c>
      <c r="D113" s="30" t="inlineStr">
        <is>
          <t>GB</t>
        </is>
      </c>
      <c r="E113" s="31" t="n">
        <v>46072</v>
      </c>
      <c r="F113" s="30" t="inlineStr">
        <is>
          <t>9th</t>
        </is>
      </c>
      <c r="G113" s="21" t="n"/>
    </row>
    <row r="114">
      <c r="A114" s="21" t="inlineStr">
        <is>
          <t>HH Shaikh Nasser Cup</t>
        </is>
      </c>
      <c r="B114" s="21" t="inlineStr">
        <is>
          <t>Nepal (IRE)</t>
        </is>
      </c>
      <c r="C114" s="21" t="inlineStr">
        <is>
          <t>George Scott</t>
        </is>
      </c>
      <c r="D114" s="30" t="inlineStr">
        <is>
          <t>IRE</t>
        </is>
      </c>
      <c r="E114" s="31" t="n">
        <v>46072</v>
      </c>
      <c r="F114" s="30" t="inlineStr">
        <is>
          <t>10th</t>
        </is>
      </c>
      <c r="G114" s="21" t="n"/>
    </row>
    <row r="115">
      <c r="A115" s="21" t="inlineStr">
        <is>
          <t xml:space="preserve">HRH THE CROWN PRINCE'S CUP </t>
        </is>
      </c>
      <c r="B115" s="23" t="inlineStr">
        <is>
          <t>Nesthorn (GB)</t>
        </is>
      </c>
      <c r="C115" s="21" t="inlineStr">
        <is>
          <t>George Baker</t>
        </is>
      </c>
      <c r="D115" s="30" t="inlineStr">
        <is>
          <t>GB</t>
        </is>
      </c>
      <c r="E115" s="31" t="n">
        <v>46052</v>
      </c>
      <c r="F115" s="30" t="inlineStr">
        <is>
          <t>7th</t>
        </is>
      </c>
      <c r="G115" s="21" t="n"/>
    </row>
    <row r="116">
      <c r="A116" s="21" t="inlineStr">
        <is>
          <t>HM THE KING'S CUP</t>
        </is>
      </c>
      <c r="B116" s="21" t="inlineStr">
        <is>
          <t>Phantom Flight (GB)</t>
        </is>
      </c>
      <c r="C116" s="21" t="inlineStr">
        <is>
          <t>George Scott</t>
        </is>
      </c>
      <c r="D116" s="30" t="inlineStr">
        <is>
          <t>GB</t>
        </is>
      </c>
      <c r="E116" s="31" t="n">
        <v>46115</v>
      </c>
      <c r="F116" s="30" t="inlineStr">
        <is>
          <t>1st</t>
        </is>
      </c>
      <c r="G116" s="21" t="n"/>
    </row>
    <row r="117">
      <c r="A117" s="21" t="n"/>
      <c r="B117" s="21" t="n"/>
      <c r="C117" s="21" t="n"/>
      <c r="D117" s="30" t="n"/>
      <c r="E117" s="30" t="n"/>
      <c r="F117" s="30" t="n"/>
      <c r="G117" s="21" t="n"/>
    </row>
    <row r="118">
      <c r="A118" s="21" t="n"/>
      <c r="B118" s="21" t="n"/>
      <c r="C118" s="21" t="n"/>
      <c r="D118" s="30" t="n"/>
      <c r="E118" s="30" t="n"/>
      <c r="F118" s="30" t="n"/>
      <c r="G118" s="21" t="n"/>
    </row>
    <row r="119">
      <c r="A119" s="21" t="n"/>
      <c r="B119" s="21" t="n"/>
      <c r="C119" s="21" t="n"/>
      <c r="D119" s="30" t="n"/>
      <c r="E119" s="30" t="n"/>
      <c r="F119" s="30" t="n"/>
      <c r="G119" s="21" t="n"/>
    </row>
    <row r="120">
      <c r="A120" s="21" t="n"/>
      <c r="B120" s="21" t="n"/>
      <c r="C120" s="21" t="n"/>
      <c r="D120" s="30" t="n"/>
      <c r="E120" s="30" t="n"/>
      <c r="F120" s="30" t="n"/>
      <c r="G120" s="21" t="n"/>
    </row>
  </sheetData>
  <autoFilter ref="A58:G58"/>
  <mergeCells count="9">
    <mergeCell ref="A1:G1"/>
    <mergeCell ref="A18:G18"/>
    <mergeCell ref="A76:B76"/>
    <mergeCell ref="A109:G109"/>
    <mergeCell ref="A4:G4"/>
    <mergeCell ref="A75:B75"/>
    <mergeCell ref="A78:G78"/>
    <mergeCell ref="A74:B74"/>
    <mergeCell ref="A57:G5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2026-04-21T18:13:51Z</dcterms:created>
  <dcterms:modified xmlns:dcterms="http://purl.org/dc/terms/" xmlns:xsi="http://www.w3.org/2001/XMLSchema-instance" xsi:type="dcterms:W3CDTF">2026-05-17T08:23:44Z</dcterms:modified>
  <cp:revision>0</cp:revision>
</cp:coreProperties>
</file>