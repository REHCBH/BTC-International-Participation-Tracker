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rehc-my.sharepoint.com/personal/edward_rehc_gov_bh/Documents/Documents/Racing/"/>
    </mc:Choice>
  </mc:AlternateContent>
  <xr:revisionPtr revIDLastSave="0" documentId="8_{743D9354-597B-432E-9006-69A11957424A}" xr6:coauthVersionLast="47" xr6:coauthVersionMax="47" xr10:uidLastSave="{00000000-0000-0000-0000-000000000000}"/>
  <bookViews>
    <workbookView xWindow="-28920" yWindow="-120" windowWidth="29040" windowHeight="15720" tabRatio="500" firstSheet="8" activeTab="8" xr2:uid="{00000000-000D-0000-FFFF-FFFF00000000}"/>
  </bookViews>
  <sheets>
    <sheet name="Season Summary" sheetId="1" r:id="rId1"/>
    <sheet name="Instructions" sheetId="2" r:id="rId2"/>
    <sheet name="2019-20" sheetId="3" r:id="rId3"/>
    <sheet name="2020-21" sheetId="4" r:id="rId4"/>
    <sheet name="2021-22" sheetId="5" r:id="rId5"/>
    <sheet name="2022-23" sheetId="6" r:id="rId6"/>
    <sheet name="2023-24" sheetId="7" r:id="rId7"/>
    <sheet name="2024-25" sheetId="8" r:id="rId8"/>
    <sheet name="2025-26" sheetId="9" r:id="rId9"/>
  </sheets>
  <definedNames>
    <definedName name="_xlnm._FilterDatabase" localSheetId="7" hidden="1">'2024-25'!$A$24:$G$24</definedName>
    <definedName name="_xlnm._FilterDatabase" localSheetId="8" hidden="1">'2025-26'!$A$58:$G$58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5" i="9" l="1"/>
  <c r="C74" i="9"/>
  <c r="C76" i="9" s="1"/>
  <c r="F55" i="9"/>
  <c r="E55" i="9"/>
  <c r="C16" i="9"/>
  <c r="C90" i="8"/>
  <c r="C89" i="8"/>
  <c r="C91" i="8" s="1"/>
  <c r="F69" i="8"/>
  <c r="E69" i="8"/>
  <c r="C21" i="8"/>
  <c r="C80" i="7"/>
  <c r="C79" i="7"/>
  <c r="C81" i="7" s="1"/>
  <c r="F60" i="7"/>
  <c r="E60" i="7"/>
  <c r="C17" i="7"/>
  <c r="C77" i="6"/>
  <c r="C76" i="6"/>
  <c r="C78" i="6" s="1"/>
  <c r="F56" i="6"/>
  <c r="E56" i="6"/>
  <c r="C18" i="6"/>
  <c r="C72" i="5"/>
  <c r="C71" i="5"/>
  <c r="C73" i="5" s="1"/>
  <c r="F49" i="5"/>
  <c r="E49" i="5"/>
  <c r="C17" i="5"/>
  <c r="C48" i="4"/>
  <c r="C47" i="4"/>
  <c r="C49" i="4" s="1"/>
  <c r="F32" i="4"/>
  <c r="E32" i="4"/>
  <c r="C13" i="4"/>
  <c r="C38" i="3"/>
  <c r="C37" i="3"/>
  <c r="C39" i="3" s="1"/>
  <c r="F31" i="3"/>
  <c r="E31" i="3"/>
  <c r="C12" i="3"/>
  <c r="H13" i="1"/>
  <c r="G13" i="1"/>
  <c r="F13" i="1"/>
  <c r="E13" i="1"/>
  <c r="C13" i="1"/>
</calcChain>
</file>

<file path=xl/sharedStrings.xml><?xml version="1.0" encoding="utf-8"?>
<sst xmlns="http://schemas.openxmlformats.org/spreadsheetml/2006/main" count="2064" uniqueCount="479">
  <si>
    <t>BAHRAIN TURF CLUB — International Horse Participation Tracker</t>
  </si>
  <si>
    <t>Season-by-Season Overview (2019/20 onwards)</t>
  </si>
  <si>
    <t>Season</t>
  </si>
  <si>
    <t>Competitions</t>
  </si>
  <si>
    <t>Int'l Horses</t>
  </si>
  <si>
    <t>Countries</t>
  </si>
  <si>
    <t>Int'l Trainers</t>
  </si>
  <si>
    <t>Total Int'l Wins</t>
  </si>
  <si>
    <t>Individual Winners</t>
  </si>
  <si>
    <t>Dual+ Winners</t>
  </si>
  <si>
    <t>Notes</t>
  </si>
  <si>
    <t>2019/20</t>
  </si>
  <si>
    <t>BIT</t>
  </si>
  <si>
    <t>3 (GB, FR, GER)</t>
  </si>
  <si>
    <t>UNVERIFIED — team must check</t>
  </si>
  <si>
    <t>2020/21</t>
  </si>
  <si>
    <t>4 (GB, IRE, JPN, UAE)</t>
  </si>
  <si>
    <t>2021/22</t>
  </si>
  <si>
    <t>BIT, BTS, Additional</t>
  </si>
  <si>
    <t>5 (GB, UAE, FR, GER, IRE)</t>
  </si>
  <si>
    <t>2022/23</t>
  </si>
  <si>
    <t>5 (UAE, FR, NOR, IRE, GB)</t>
  </si>
  <si>
    <t>2023/24</t>
  </si>
  <si>
    <t>4 (GB, FR, IRE, UAE)</t>
  </si>
  <si>
    <t>2024/25</t>
  </si>
  <si>
    <t>6 (GB, FR, JPN, UAE, IRE, Qatar)</t>
  </si>
  <si>
    <t>2025/26</t>
  </si>
  <si>
    <t>4 (GB, IRE, FR, UAE)</t>
  </si>
  <si>
    <t>Phantom Flight &amp; No Retreat dual winners</t>
  </si>
  <si>
    <t>ALL SEASONS</t>
  </si>
  <si>
    <t>Orange = pre-populated but UNVERIFIED (team must verify against racing office archives). Yellow = still to be completed.</t>
  </si>
  <si>
    <t>Dual+ Winners calculated via "Win # for Horse" column. Individual Winners = horses with Win # = 1.</t>
  </si>
  <si>
    <t>HOW TO USE THIS TRACKER</t>
  </si>
  <si>
    <t>This workbook tracks international horse participation at BTC from 2019/20 onwards.</t>
  </si>
  <si>
    <t>STRUCTURE PER SEASON:</t>
  </si>
  <si>
    <t>Section 1 — Horses by Competition: Country breakdown of int'l entries per competition.</t>
  </si>
  <si>
    <t>Section 2 — Horse Register: Every int'l horse, with trainer, country, competition, win status.</t>
  </si>
  <si>
    <t>Section 3 — Winners: "Win # for Horse": 1 = first win, 2 = second, etc. Dual winners calculated automatically.</t>
  </si>
  <si>
    <t>Section 4 — Trainers: Listed by competition (BIT, BTS separately where applicable).</t>
  </si>
  <si>
    <t>Section 5 — Additional Races: HH Shaikh Nasser Cup, Crown Prince Cup, King's Cup, etc. (2021/22 onwards only).</t>
  </si>
  <si>
    <t>KEY NOTES:</t>
  </si>
  <si>
    <t>2019/20 and 2020/21 = BIT only (BTS not yet established).</t>
  </si>
  <si>
    <t>From 2021/22 onwards all competitions apply.</t>
  </si>
  <si>
    <t>Orange cells = pre-populated data. THIS DATA IS NOT VERIFIED. Team must check against archives and racing office records.</t>
  </si>
  <si>
    <t>Yellow cells = data still to be completed from scratch.</t>
  </si>
  <si>
    <t>Use "Trainers" not "Teams" — correct horseracing terminology.</t>
  </si>
  <si>
    <t>COUNTRY CODES: GB, IRE, FR, UAE, JPN, GER, NOR, Qatar, USA</t>
  </si>
  <si>
    <t>International Participation — 2019/20 Season</t>
  </si>
  <si>
    <t>BIT only (BTS not yet established)</t>
  </si>
  <si>
    <t>SECTION 1: INTERNATIONAL HORSES BY COMPETITION</t>
  </si>
  <si>
    <t>Competition</t>
  </si>
  <si>
    <t>Country</t>
  </si>
  <si>
    <t>No. of Horses</t>
  </si>
  <si>
    <t>GB</t>
  </si>
  <si>
    <t>FR</t>
  </si>
  <si>
    <t>GER</t>
  </si>
  <si>
    <t>TOTAL</t>
  </si>
  <si>
    <t>SECTION 2: INTERNATIONAL HORSE REGISTER (list every international horse)</t>
  </si>
  <si>
    <t>Horse Name</t>
  </si>
  <si>
    <t>Trainer</t>
  </si>
  <si>
    <t>Winner? (Y/N)</t>
  </si>
  <si>
    <t>No. of Wins</t>
  </si>
  <si>
    <t>Royal Julius (IRE)</t>
  </si>
  <si>
    <t>Jerome Reynier</t>
  </si>
  <si>
    <t>France</t>
  </si>
  <si>
    <t xml:space="preserve">Bahrain International Trophy </t>
  </si>
  <si>
    <t>Y</t>
  </si>
  <si>
    <t>Turgenev (GB)</t>
  </si>
  <si>
    <t xml:space="preserve">John Gosden </t>
  </si>
  <si>
    <t>N</t>
  </si>
  <si>
    <t>Afaak (GB)</t>
  </si>
  <si>
    <t>Charlie Hills</t>
  </si>
  <si>
    <t>Intellogent (IRE)</t>
  </si>
  <si>
    <t xml:space="preserve">F Chappet </t>
  </si>
  <si>
    <t>Pivoine (IRE)</t>
  </si>
  <si>
    <t xml:space="preserve">Andrew Balding </t>
  </si>
  <si>
    <t xml:space="preserve">Coolagh Forest (IRE) </t>
  </si>
  <si>
    <t xml:space="preserve">Paul D'Arcy </t>
  </si>
  <si>
    <t>Aquarium (GB)</t>
  </si>
  <si>
    <t xml:space="preserve">Jane Chapple-Hyam </t>
  </si>
  <si>
    <t>Sword Peinture (GER)</t>
  </si>
  <si>
    <t xml:space="preserve">Andreas Suborics </t>
  </si>
  <si>
    <t>Mountain Angel (IRE)</t>
  </si>
  <si>
    <t>Roger Varian</t>
  </si>
  <si>
    <t>TOTALS:</t>
  </si>
  <si>
    <t>SECTION 3: INTERNATIONAL WINNERS</t>
  </si>
  <si>
    <t>Horse</t>
  </si>
  <si>
    <t>Race</t>
  </si>
  <si>
    <t>Date</t>
  </si>
  <si>
    <t>Win # for Horse</t>
  </si>
  <si>
    <t xml:space="preserve">Royal Julius </t>
  </si>
  <si>
    <t>1st</t>
  </si>
  <si>
    <t>Total International Wins:</t>
  </si>
  <si>
    <t>Individual Winning Horses:</t>
  </si>
  <si>
    <t>Dual+ Winners:</t>
  </si>
  <si>
    <t>SECTION 4: INTERNATIONAL TRAINERS</t>
  </si>
  <si>
    <t>Bahrain International Trophy</t>
  </si>
  <si>
    <t>Total International Trainers:</t>
  </si>
  <si>
    <t>International Participation — 2020/21 Season</t>
  </si>
  <si>
    <t>IRE</t>
  </si>
  <si>
    <t>JPN</t>
  </si>
  <si>
    <t>UAE</t>
  </si>
  <si>
    <t>Global Giant (GB)</t>
  </si>
  <si>
    <t>John &amp; Thady Josden</t>
  </si>
  <si>
    <t>Sovereign (IRE)</t>
  </si>
  <si>
    <t>Aidan O'Brain</t>
  </si>
  <si>
    <t xml:space="preserve">Lord Glitters (FR) </t>
  </si>
  <si>
    <t xml:space="preserve">David O'Meara </t>
  </si>
  <si>
    <t>Certain Lad (GB)</t>
  </si>
  <si>
    <t>Mick Channon</t>
  </si>
  <si>
    <t xml:space="preserve">Loxley (IRE) </t>
  </si>
  <si>
    <t xml:space="preserve">Charlie Appleby </t>
  </si>
  <si>
    <t>Deirdre (JPN)</t>
  </si>
  <si>
    <t xml:space="preserve">Mitsuru Hashida </t>
  </si>
  <si>
    <t>Bangkok (IRE)</t>
  </si>
  <si>
    <t>Dream Castle (GB)</t>
  </si>
  <si>
    <t>Saeed Bin Suroor</t>
  </si>
  <si>
    <t>Desert Encounter (IRE)</t>
  </si>
  <si>
    <t>David Simcock</t>
  </si>
  <si>
    <t>Lady Wannabe (IRE)</t>
  </si>
  <si>
    <t xml:space="preserve">J A Stack </t>
  </si>
  <si>
    <t>Simsir (IRE)</t>
  </si>
  <si>
    <t>Fawzi Abdulla Nass</t>
  </si>
  <si>
    <t>Bahrain</t>
  </si>
  <si>
    <t>International Participation — 2021/22 Season</t>
  </si>
  <si>
    <t>BTS</t>
  </si>
  <si>
    <t>HH Shaikh Nasser Day (BTS)</t>
  </si>
  <si>
    <t>Lord Glitters (FR)</t>
  </si>
  <si>
    <t>Barney Roy (GB)</t>
  </si>
  <si>
    <t>Charlie Applebly</t>
  </si>
  <si>
    <t>Magny Cours (USA)</t>
  </si>
  <si>
    <t>A Fabre</t>
  </si>
  <si>
    <t>Fev Rover (IRE)</t>
  </si>
  <si>
    <t xml:space="preserve">Richard Fahey </t>
  </si>
  <si>
    <t>Cadillac (IRE)</t>
  </si>
  <si>
    <t xml:space="preserve">Mrs John Harrington </t>
  </si>
  <si>
    <t>Penja (FR)</t>
  </si>
  <si>
    <t>Pogo (IRE)</t>
  </si>
  <si>
    <t>Dubai Future (GB)</t>
  </si>
  <si>
    <t xml:space="preserve">Zakouski (GB) </t>
  </si>
  <si>
    <t>Victory Chime (IRE)</t>
  </si>
  <si>
    <t xml:space="preserve">Ralph Beckett </t>
  </si>
  <si>
    <t>Magical Wish (IRE)</t>
  </si>
  <si>
    <t>J S Moore</t>
  </si>
  <si>
    <t>Bahrain Turs Series</t>
  </si>
  <si>
    <t>WONDER ELZAAM (IRE)</t>
  </si>
  <si>
    <t>J.S Moore</t>
  </si>
  <si>
    <t>KING'S KNIGHT (IRE)</t>
  </si>
  <si>
    <t>Charles Hills</t>
  </si>
  <si>
    <t>NATURAL PATH (IRE)</t>
  </si>
  <si>
    <t>Micheal Bell</t>
  </si>
  <si>
    <t>PEERLESS (IRE)</t>
  </si>
  <si>
    <t>Jamie Osborne</t>
  </si>
  <si>
    <t xml:space="preserve">LA MAQUINA (GB) </t>
  </si>
  <si>
    <t>George Baker</t>
  </si>
  <si>
    <t>DAWAAM (USA)</t>
  </si>
  <si>
    <t>HOWZER BLACK (IRE)</t>
  </si>
  <si>
    <t>Keith Dalgleish</t>
  </si>
  <si>
    <t xml:space="preserve">ACE ROTHSTEIN (USA) </t>
  </si>
  <si>
    <t xml:space="preserve">ARQOOB (IRE) </t>
  </si>
  <si>
    <t>William Jarvis</t>
  </si>
  <si>
    <t>BRAINS (IRE)</t>
  </si>
  <si>
    <t>NEBO (IRE)</t>
  </si>
  <si>
    <t>Tom Hogan</t>
  </si>
  <si>
    <t>KOOLASICE (IRE)</t>
  </si>
  <si>
    <t>Ross O'sullivan</t>
  </si>
  <si>
    <t>PISTOLETTO (USA)</t>
  </si>
  <si>
    <t>John Ryan</t>
  </si>
  <si>
    <t>JACK THE TRUTH (IRE)</t>
  </si>
  <si>
    <t>George Scott</t>
  </si>
  <si>
    <t>Tamborrada (GB)</t>
  </si>
  <si>
    <t>Bahrain Turs Series - Vision 2030 Cup</t>
  </si>
  <si>
    <t>Silent Film (GB)</t>
  </si>
  <si>
    <t>Bahrain Turs Series - AlSakhir Cup</t>
  </si>
  <si>
    <t>Urgent Appeal (IRE)</t>
  </si>
  <si>
    <t>Simon &amp; Ed Crisford</t>
  </si>
  <si>
    <t>Bahrain Turs Series - Al Adiyat Cup</t>
  </si>
  <si>
    <t>Stewards Cup</t>
  </si>
  <si>
    <t>Bahrain Turf Series - AlSakhir Cup</t>
  </si>
  <si>
    <t>Bahrain Turf Series</t>
  </si>
  <si>
    <t>SECTION 5: ADDITIONAL INT'L RACES (HH Shaikh Nasser Cup, Crown Prince Cup, King's Cup, etc.)</t>
  </si>
  <si>
    <t>Race Name</t>
  </si>
  <si>
    <t>Result</t>
  </si>
  <si>
    <t>International Participation — 2022/23 Season</t>
  </si>
  <si>
    <t>NOR</t>
  </si>
  <si>
    <t>Crown Prince Cup</t>
  </si>
  <si>
    <t>King's Cup</t>
  </si>
  <si>
    <t>Passion And Glory (IRE)</t>
  </si>
  <si>
    <t>Riocorvo (GER)</t>
  </si>
  <si>
    <t xml:space="preserve">C Laffon-Parias </t>
  </si>
  <si>
    <t xml:space="preserve">A Fabre </t>
  </si>
  <si>
    <t>Monty (FR)</t>
  </si>
  <si>
    <t xml:space="preserve">A Schutz </t>
  </si>
  <si>
    <t>King David (DEN)</t>
  </si>
  <si>
    <t xml:space="preserve">Niels Petersen </t>
  </si>
  <si>
    <t>Insinuendo (IRE)</t>
  </si>
  <si>
    <t xml:space="preserve">W McCreery </t>
  </si>
  <si>
    <t>Royal Fleet (GB)</t>
  </si>
  <si>
    <t>Lucander (IRE)</t>
  </si>
  <si>
    <t>Baharain Turf Series + HH Shaikh Nasser Cup</t>
  </si>
  <si>
    <t>Dual Winner</t>
  </si>
  <si>
    <t>Box To Box (IRE)</t>
  </si>
  <si>
    <t>Hugo Plamer</t>
  </si>
  <si>
    <t>Baharain Turf Series</t>
  </si>
  <si>
    <t>What's The Story (GB)</t>
  </si>
  <si>
    <t xml:space="preserve">Keith Dalgleish </t>
  </si>
  <si>
    <t>Marie's Diamond  (IRE)</t>
  </si>
  <si>
    <t>Roger Fell</t>
  </si>
  <si>
    <t>Inigo Jones (GB)</t>
  </si>
  <si>
    <t xml:space="preserve">Jamie Osborne </t>
  </si>
  <si>
    <t>Chianti (FR)</t>
  </si>
  <si>
    <t>Commonsensical (GB)</t>
  </si>
  <si>
    <t>Digital (IRE)</t>
  </si>
  <si>
    <t>Get It (GB)</t>
  </si>
  <si>
    <t>King Of Stars (IRE)</t>
  </si>
  <si>
    <t>Micheal Appleby</t>
  </si>
  <si>
    <t>Herewegodandy (IRE)</t>
  </si>
  <si>
    <t>Soldier's Minute (GB)</t>
  </si>
  <si>
    <t>Khunan (GB)</t>
  </si>
  <si>
    <t>Watchya (GB)</t>
  </si>
  <si>
    <t>Warrior Brave (GB)</t>
  </si>
  <si>
    <t>Ross O'Sullivan</t>
  </si>
  <si>
    <t>Mr Professor (IRE)</t>
  </si>
  <si>
    <t xml:space="preserve">Alice Haynes </t>
  </si>
  <si>
    <t>Longbourn (IRE)</t>
  </si>
  <si>
    <t>King Of Qonquest (GB)</t>
  </si>
  <si>
    <t>Charlie Appleby</t>
  </si>
  <si>
    <t>Nomadic Empire (IRE)</t>
  </si>
  <si>
    <t>David O'Meara</t>
  </si>
  <si>
    <t>Knight Of Honour (IRE)</t>
  </si>
  <si>
    <t>Warren Point (GB)</t>
  </si>
  <si>
    <t>CP Cup</t>
  </si>
  <si>
    <t>Modern News (GB)</t>
  </si>
  <si>
    <t>Al Methaq Mile</t>
  </si>
  <si>
    <t>First Ruler (GB)</t>
  </si>
  <si>
    <t>BTS - Al Muharraq Cup</t>
  </si>
  <si>
    <t>NOMADIC EMPIRE (IRE)</t>
  </si>
  <si>
    <t>BTS - Al Manama Cup</t>
  </si>
  <si>
    <t>BTS - Al Dana Cup</t>
  </si>
  <si>
    <t>Class 4 &amp; Maidan 1M2F</t>
  </si>
  <si>
    <t>BTS - Al Wasmya Cup</t>
  </si>
  <si>
    <t>BTS - Anchorman Cup</t>
  </si>
  <si>
    <t>HH Shaikh Nasser Cup</t>
  </si>
  <si>
    <t>10th</t>
  </si>
  <si>
    <t>2nd</t>
  </si>
  <si>
    <t>International Participation — 2023/24 Season</t>
  </si>
  <si>
    <t>SPIRIT DANCER (GB)</t>
  </si>
  <si>
    <t>Richerd Fahey</t>
  </si>
  <si>
    <t>ISRAR (GB)</t>
  </si>
  <si>
    <t xml:space="preserve">John &amp; Thady Gosden </t>
  </si>
  <si>
    <t>POINT LONSDALE (IRE)</t>
  </si>
  <si>
    <t>REAL WORLD (IRE)</t>
  </si>
  <si>
    <t>BIRR CASTLE (FR)</t>
  </si>
  <si>
    <t>ASTRO KING (IRE)</t>
  </si>
  <si>
    <t xml:space="preserve">Daniel &amp; Claire Kubler </t>
  </si>
  <si>
    <t>NATIONS PRIDE (IRE)</t>
  </si>
  <si>
    <t>ABOVE THE CURVE (USA)</t>
  </si>
  <si>
    <t>Joseph O'Brain</t>
  </si>
  <si>
    <t>MARHABA YA SANAFI (IRE)</t>
  </si>
  <si>
    <t>A Schutz</t>
  </si>
  <si>
    <t>HIGHLAND AVENUE (IRE)</t>
  </si>
  <si>
    <t>DUBAI FUTURE (IRE)</t>
  </si>
  <si>
    <t>LAYFAYETTE (IRE)</t>
  </si>
  <si>
    <t xml:space="preserve">Noel Meade </t>
  </si>
  <si>
    <t>ROCKET RODNEY (GB)</t>
  </si>
  <si>
    <t>Geroge Scott</t>
  </si>
  <si>
    <t>BRAZEN BOLT (GB)</t>
  </si>
  <si>
    <t>Sean &amp; John Quinn</t>
  </si>
  <si>
    <t>ANTHEM NATIONAL (IRE)</t>
  </si>
  <si>
    <t>Phillip Kirby</t>
  </si>
  <si>
    <t>KIWANO (FR)</t>
  </si>
  <si>
    <t>GET IT (GB)</t>
  </si>
  <si>
    <t>THUNDER MOOR (IRE)</t>
  </si>
  <si>
    <t>Geroge Boughey</t>
  </si>
  <si>
    <t>DUAL WINNER</t>
  </si>
  <si>
    <t>WARRIOR BRAVE (GB)</t>
  </si>
  <si>
    <t>ROMAN DRAGON (GB)</t>
  </si>
  <si>
    <t>Hugo Palmer</t>
  </si>
  <si>
    <t>LUCANDER (IRE)</t>
  </si>
  <si>
    <t>ISLE OF JURA (GB)</t>
  </si>
  <si>
    <t>Multiple winner</t>
  </si>
  <si>
    <t>BOX TO BOX (IRE)</t>
  </si>
  <si>
    <t>PARLANDO (GB)</t>
  </si>
  <si>
    <t>Ian Williams</t>
  </si>
  <si>
    <t>MOKTASAAB (GB)</t>
  </si>
  <si>
    <t>Phil McEnte</t>
  </si>
  <si>
    <t>SLIEVE BINNIAN (IRE)</t>
  </si>
  <si>
    <t>M Halford</t>
  </si>
  <si>
    <t>GRAIGNES (FR)</t>
  </si>
  <si>
    <t>DUC DE KENT (FR)</t>
  </si>
  <si>
    <t>SQUEALER (IRE)</t>
  </si>
  <si>
    <t>Nigel Tinkler</t>
  </si>
  <si>
    <t>JM JUNGLE (IRE)</t>
  </si>
  <si>
    <t>SIMPLY SONDHEIM (IRE)</t>
  </si>
  <si>
    <t>SIR WINSTON (IRE)</t>
  </si>
  <si>
    <t>DANGER ALERT (GB)</t>
  </si>
  <si>
    <t>KILLYBEGS WARRIOR (IRE)</t>
  </si>
  <si>
    <t>LOCAL DYNASTY (IRE)</t>
  </si>
  <si>
    <t>CPC</t>
  </si>
  <si>
    <t>PASSION AND GLORY (IRE)</t>
  </si>
  <si>
    <t>KING OF CONQUEST (GB)</t>
  </si>
  <si>
    <t>KC</t>
  </si>
  <si>
    <t>DHAHABI (IRE)</t>
  </si>
  <si>
    <t>PARLANDO</t>
  </si>
  <si>
    <t>VISION 2030</t>
  </si>
  <si>
    <t>ROCKET RODNEY</t>
  </si>
  <si>
    <t>Al Riffa Cup</t>
  </si>
  <si>
    <t>BRAZEN BOLT</t>
  </si>
  <si>
    <t>Al Wasmiya Cup</t>
  </si>
  <si>
    <t>KIWANO</t>
  </si>
  <si>
    <t>H.H.SH. HAMDAN BIN NASSER BIN HAMAD AL KHALIFA CUP</t>
  </si>
  <si>
    <t>THUNDER MOOR</t>
  </si>
  <si>
    <t>HOUSE ME CUP &amp; AL SAKHIR CUP</t>
  </si>
  <si>
    <t>ROMAN DRAGON</t>
  </si>
  <si>
    <t>THE HAWAR CUP</t>
  </si>
  <si>
    <t>LUCANDER</t>
  </si>
  <si>
    <t>AL DANA CUP</t>
  </si>
  <si>
    <t>ISLE OF JURA</t>
  </si>
  <si>
    <t xml:space="preserve">AL MUHARRAQ CUP &amp; CPC &amp; HH Sh Nasser Cup &amp; KC </t>
  </si>
  <si>
    <t xml:space="preserve"> ISLE OF JURA </t>
  </si>
  <si>
    <t>3rd</t>
  </si>
  <si>
    <t>LOCAL DYNASTY</t>
  </si>
  <si>
    <t>5th</t>
  </si>
  <si>
    <t>PASSION AND GLORY</t>
  </si>
  <si>
    <t>6th</t>
  </si>
  <si>
    <t>KING OF CONQUEST</t>
  </si>
  <si>
    <t>4th</t>
  </si>
  <si>
    <t>DHAHABI</t>
  </si>
  <si>
    <t>7th</t>
  </si>
  <si>
    <t>8th</t>
  </si>
  <si>
    <t>International Participation — 2024/25 Season</t>
  </si>
  <si>
    <t>Qatar</t>
  </si>
  <si>
    <t>Richard Fahey</t>
  </si>
  <si>
    <t>LEAD ARTIST (GB)</t>
  </si>
  <si>
    <t>John &amp; Thady Gosden</t>
  </si>
  <si>
    <t>ALFLAILA (GB)</t>
  </si>
  <si>
    <t>Owen Burrows</t>
  </si>
  <si>
    <t>ANDROMEDE (FR)</t>
  </si>
  <si>
    <t xml:space="preserve">F-H Graffard </t>
  </si>
  <si>
    <t>YAMANIN SYMPA (JPN)</t>
  </si>
  <si>
    <t xml:space="preserve">Takashi Saito </t>
  </si>
  <si>
    <t>KILLER ABILITY (JPN)</t>
  </si>
  <si>
    <t>Calif (GER)</t>
  </si>
  <si>
    <t>C &amp; Y Lerner</t>
  </si>
  <si>
    <t>MR ALAN (GB)</t>
  </si>
  <si>
    <t>George Boughey</t>
  </si>
  <si>
    <t>SNELLEN (IRE)</t>
  </si>
  <si>
    <t>Gavin Cromwell</t>
  </si>
  <si>
    <t>WHISKEY PETE (IRE)</t>
  </si>
  <si>
    <t>MAJESTIC (IRE)</t>
  </si>
  <si>
    <t>Jack Channon</t>
  </si>
  <si>
    <t>WALBANK (IRE)</t>
  </si>
  <si>
    <t>DESERT COP (GB)</t>
  </si>
  <si>
    <t>SPANGLED MAC (IRE)</t>
  </si>
  <si>
    <t>JUBILEE WALK (GB)</t>
  </si>
  <si>
    <t>James Ferguson</t>
  </si>
  <si>
    <t>OLIVER SHOW (IRE)</t>
  </si>
  <si>
    <t>YANTARNI (GB)</t>
  </si>
  <si>
    <t>JEHANGEER (IRE)</t>
  </si>
  <si>
    <t>Marco Botti</t>
  </si>
  <si>
    <t>LION OF WAR (GB)</t>
  </si>
  <si>
    <t xml:space="preserve">Charlie Johnston </t>
  </si>
  <si>
    <t>DEAR MY FRIEND (GB)</t>
  </si>
  <si>
    <t>WATCH MY TRACER (IRE)</t>
  </si>
  <si>
    <t>PHANTOM FLIGHT (GB)</t>
  </si>
  <si>
    <t>METABOLT (GB)</t>
  </si>
  <si>
    <t>David Loughnane</t>
  </si>
  <si>
    <t>CITY HOUSE (IRE)</t>
  </si>
  <si>
    <t>TOUCH THE MOON (IRE)</t>
  </si>
  <si>
    <t>GRAND CITY HALL (IRE)</t>
  </si>
  <si>
    <t>Intricacy (GB)</t>
  </si>
  <si>
    <t xml:space="preserve">Simon &amp; Ed Crisford </t>
  </si>
  <si>
    <t>GREER (IRE)</t>
  </si>
  <si>
    <t>Mohammed Ghazali</t>
  </si>
  <si>
    <t>QTR</t>
  </si>
  <si>
    <t>Bahrain Turf Series - KC Festival</t>
  </si>
  <si>
    <t>MILITARY ACADEMY (GB)</t>
  </si>
  <si>
    <t>GENERAL PANIC (GB)</t>
  </si>
  <si>
    <t>Ibrahim Al Malki</t>
  </si>
  <si>
    <t>Al Methaq Mile Cup</t>
  </si>
  <si>
    <t>HIGHBANK (IRE)</t>
  </si>
  <si>
    <t>OTTOMAN FLEET (GB)</t>
  </si>
  <si>
    <t>Not Travel</t>
  </si>
  <si>
    <t>BAHRAIN INTERNATIONAL TROPHY</t>
  </si>
  <si>
    <t>AL MUHARRAQ CUP</t>
  </si>
  <si>
    <t>Al DANA CUP</t>
  </si>
  <si>
    <t>AL RIFFA CUP</t>
  </si>
  <si>
    <t xml:space="preserve">AL ADIYAT CUP &amp; CPC </t>
  </si>
  <si>
    <t>THE HAWAR CUP &amp; THE HUNTSMAN CUP</t>
  </si>
  <si>
    <t>AL SAKHIR CUP</t>
  </si>
  <si>
    <t>THE CHAIRMAN'S CUP</t>
  </si>
  <si>
    <t>HH SH. ABDULLA BIN ISA BIN SALMAN AL KHALIFA CUP &amp; CELEBRATE BAHRAIN CUP</t>
  </si>
  <si>
    <t>H.H.SH. NASSER BIN HAMAD AL KHALIFA CUP</t>
  </si>
  <si>
    <t>H.H.SH. SHEEMA BINT NASSER BIN HAMAD AL KHALIFA CUP</t>
  </si>
  <si>
    <t>HRH THE CROWN PRINCE'S CUP</t>
  </si>
  <si>
    <t>HM THE KING'S CUP</t>
  </si>
  <si>
    <t>PHANTOM FLIGHT</t>
  </si>
  <si>
    <t>International Participation — 2025/26 Season</t>
  </si>
  <si>
    <t>Royal Champion (IRE)</t>
  </si>
  <si>
    <t>Karl Burke</t>
  </si>
  <si>
    <t>Love Is The Law (IRE)</t>
  </si>
  <si>
    <t>Kendall Roy (GB)</t>
  </si>
  <si>
    <t>Katie McGivern</t>
  </si>
  <si>
    <t>Nesthorn (GB)</t>
  </si>
  <si>
    <t>No Retreat (IRE)</t>
  </si>
  <si>
    <t>Hi Royal (IRE)</t>
  </si>
  <si>
    <t>Kevin Ryan</t>
  </si>
  <si>
    <t>Blue Day (GB)</t>
  </si>
  <si>
    <t>Another Baar (GB)</t>
  </si>
  <si>
    <t>Adrian Keatley</t>
  </si>
  <si>
    <t>Phantom Flight (GB)</t>
  </si>
  <si>
    <t>Nepal (IRE)</t>
  </si>
  <si>
    <t>Dain Ma Nut In (IRE)</t>
  </si>
  <si>
    <t>Lucinda Russell &amp; Michael Scudamore</t>
  </si>
  <si>
    <t>Dubai Bling (IRE)</t>
  </si>
  <si>
    <t>Galen (GB)</t>
  </si>
  <si>
    <t>Joseph O'Brien</t>
  </si>
  <si>
    <t>Military Order (IRE)</t>
  </si>
  <si>
    <t>Pride Of Arras (IRE)</t>
  </si>
  <si>
    <t>Ralph Beckett</t>
  </si>
  <si>
    <t>Lions Pride (IRE)</t>
  </si>
  <si>
    <t>Bright Picture (FR)</t>
  </si>
  <si>
    <t>Andre Fabre</t>
  </si>
  <si>
    <t>Persica (IRE)</t>
  </si>
  <si>
    <t>Richard Hannon</t>
  </si>
  <si>
    <t>Roman Dragon (GB)</t>
  </si>
  <si>
    <t>Cheif Mankato (GB)</t>
  </si>
  <si>
    <t>Commanche Falls (GB)</t>
  </si>
  <si>
    <t>Micheal Dods</t>
  </si>
  <si>
    <t>Northern Express (IRE)</t>
  </si>
  <si>
    <t>Partisan Hero (IRE)</t>
  </si>
  <si>
    <t>Rocking Ends (GB)</t>
  </si>
  <si>
    <t>Tom Clover</t>
  </si>
  <si>
    <t>Oliver Show (IRE)</t>
  </si>
  <si>
    <t>Spangled Mac (IRE)</t>
  </si>
  <si>
    <t>Arabian Sun (IRE)</t>
  </si>
  <si>
    <t>Clive Cox</t>
  </si>
  <si>
    <t>Up The Pace (IRE)</t>
  </si>
  <si>
    <t>Daniel &amp; Claire Kubler</t>
  </si>
  <si>
    <t>Max Mayhem (GB)</t>
  </si>
  <si>
    <t>Gordon Grey (IRE)</t>
  </si>
  <si>
    <t>Desert Cop (GB)</t>
  </si>
  <si>
    <t>Cloud Seeker (GB)</t>
  </si>
  <si>
    <t xml:space="preserve">GB </t>
  </si>
  <si>
    <t>Wave Rider (GB)</t>
  </si>
  <si>
    <t>Slieve Binnian (IRE)</t>
  </si>
  <si>
    <t>David Marnane</t>
  </si>
  <si>
    <t>BEDOUIN PRINCE (IRE)</t>
  </si>
  <si>
    <t>14/11/25</t>
  </si>
  <si>
    <t>Dallah Cup</t>
  </si>
  <si>
    <t>18/12/25</t>
  </si>
  <si>
    <t>Al Manama Cup</t>
  </si>
  <si>
    <t>19/12/25</t>
  </si>
  <si>
    <t>Al Muharraq Cup</t>
  </si>
  <si>
    <t>Southern Governate Cup</t>
  </si>
  <si>
    <t>02/01/26</t>
  </si>
  <si>
    <t>Al Dana Cup</t>
  </si>
  <si>
    <t>stc Bahrain Sprint Cup</t>
  </si>
  <si>
    <t>09/01/26</t>
  </si>
  <si>
    <t>16/01/26</t>
  </si>
  <si>
    <t>Al Adiyat Cup</t>
  </si>
  <si>
    <t>Investcorp Cup</t>
  </si>
  <si>
    <t>29/01/26</t>
  </si>
  <si>
    <t>Anchorman Cup</t>
  </si>
  <si>
    <t>Bahrain Mile</t>
  </si>
  <si>
    <t>30/01/26</t>
  </si>
  <si>
    <t>Al Fateh Cup</t>
  </si>
  <si>
    <t>02/04/26</t>
  </si>
  <si>
    <t>HM The King's Cup</t>
  </si>
  <si>
    <t>03/04/26</t>
  </si>
  <si>
    <t>Michael Dods</t>
  </si>
  <si>
    <t>Andrew Slattery</t>
  </si>
  <si>
    <t>SECTION 5: ADDITIONAL INT'L RACES (HH Shaikh Nasser Cup, Crown Prince Cup, King's Cup)</t>
  </si>
  <si>
    <t>DAIN MA NUT IN (IRE)</t>
  </si>
  <si>
    <t>Lucinda Russell &amp; M Scudamore</t>
  </si>
  <si>
    <t>Gorden Grey (IRE)</t>
  </si>
  <si>
    <t>9th</t>
  </si>
  <si>
    <t>NEPAL (IRE)</t>
  </si>
  <si>
    <t xml:space="preserve">HRH THE CROWN PRINCE'S CUP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</si>
</sst>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b/>
      <sz val="14"/>
      <color rgb="FF1B3A5C"/>
      <name val="Arial"/>
      <family val="2"/>
    </font>
    <font>
      <sz val="11"/>
      <color rgb="FF66666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0"/>
      <color rgb="FFCC6600"/>
      <name val="Arial"/>
      <family val="2"/>
    </font>
    <font>
      <b/>
      <sz val="10"/>
      <name val="Arial"/>
      <family val="2"/>
    </font>
    <font>
      <i/>
      <sz val="9"/>
      <color rgb="FF666666"/>
      <name val="Arial"/>
      <family val="2"/>
    </font>
    <font>
      <sz val="11"/>
      <name val="Arial"/>
      <family val="2"/>
    </font>
    <font>
      <b/>
      <sz val="11"/>
      <color rgb="FF1B3A5C"/>
      <name val="Arial"/>
      <family val="2"/>
    </font>
    <font>
      <b/>
      <sz val="10"/>
      <color rgb="FFCC6600"/>
      <name val="Arial"/>
      <family val="2"/>
    </font>
    <font>
      <b/>
      <sz val="13"/>
      <color rgb="FF1B3A5C"/>
      <name val="Arial"/>
      <family val="2"/>
    </font>
    <font>
      <i/>
      <sz val="10"/>
      <color rgb="FF999999"/>
      <name val="Arial"/>
      <family val="2"/>
    </font>
    <font>
      <b/>
      <sz val="10"/>
      <color rgb="FFFFFFFF"/>
      <name val="Arial"/>
      <family val="2"/>
    </font>
    <font>
      <b/>
      <sz val="10"/>
      <color rgb="FF4A7FB5"/>
      <name val="Arial"/>
      <family val="2"/>
    </font>
    <font>
      <sz val="10"/>
      <color rgb="FFFF0000"/>
      <name val="Arial"/>
      <family val="2"/>
    </font>
    <font>
      <b/>
      <sz val="10"/>
      <color rgb="FF7030A0"/>
      <name val="Arial"/>
      <family val="2"/>
    </font>
    <font>
      <sz val="10"/>
      <color rgb="FF999999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999999"/>
      <name val="Arial"/>
    </font>
    <font>
      <sz val="10"/>
      <color rgb="FF000000"/>
      <name val="Arial"/>
      <family val="2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FFE0B2"/>
        <bgColor rgb="FFFFF2CC"/>
      </patternFill>
    </fill>
    <fill>
      <patternFill patternType="solid">
        <fgColor rgb="FFFFF2CC"/>
        <bgColor rgb="FFFFE0B2"/>
      </patternFill>
    </fill>
    <fill>
      <patternFill patternType="solid">
        <fgColor rgb="FFE8E8E8"/>
        <bgColor rgb="FFD6E4F0"/>
      </patternFill>
    </fill>
    <fill>
      <patternFill patternType="solid">
        <fgColor rgb="FFD6E4F0"/>
        <bgColor rgb="FFE8E8E8"/>
      </patternFill>
    </fill>
    <fill>
      <patternFill patternType="solid">
        <fgColor rgb="FF4A7FB5"/>
        <bgColor rgb="FF808080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4" fillId="0" borderId="1" xfId="0" applyFont="1" applyBorder="1"/>
    <xf numFmtId="0" fontId="4" fillId="3" borderId="1" xfId="0" applyFont="1" applyFill="1" applyBorder="1"/>
    <xf numFmtId="0" fontId="4" fillId="4" borderId="1" xfId="0" applyFont="1" applyFill="1" applyBorder="1"/>
    <xf numFmtId="0" fontId="5" fillId="0" borderId="1" xfId="0" applyFont="1" applyBorder="1"/>
    <xf numFmtId="0" fontId="6" fillId="5" borderId="1" xfId="0" applyFont="1" applyFill="1" applyBorder="1"/>
    <xf numFmtId="0" fontId="4" fillId="5" borderId="1" xfId="0" applyFont="1" applyFill="1" applyBorder="1"/>
    <xf numFmtId="0" fontId="13" fillId="7" borderId="1" xfId="0" applyFont="1" applyFill="1" applyBorder="1" applyAlignment="1">
      <alignment horizontal="center" wrapText="1"/>
    </xf>
    <xf numFmtId="0" fontId="12" fillId="4" borderId="1" xfId="0" applyFont="1" applyFill="1" applyBorder="1"/>
    <xf numFmtId="0" fontId="14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21" fillId="7" borderId="1" xfId="0" applyFont="1" applyFill="1" applyBorder="1" applyAlignment="1">
      <alignment horizontal="center" wrapText="1"/>
    </xf>
    <xf numFmtId="0" fontId="22" fillId="0" borderId="1" xfId="0" applyFont="1" applyBorder="1"/>
    <xf numFmtId="0" fontId="0" fillId="8" borderId="0" xfId="0" applyFill="1"/>
    <xf numFmtId="0" fontId="18" fillId="8" borderId="1" xfId="0" applyFont="1" applyFill="1" applyBorder="1"/>
    <xf numFmtId="0" fontId="23" fillId="8" borderId="1" xfId="0" applyFont="1" applyFill="1" applyBorder="1"/>
    <xf numFmtId="0" fontId="17" fillId="8" borderId="1" xfId="0" applyFont="1" applyFill="1" applyBorder="1"/>
    <xf numFmtId="0" fontId="19" fillId="8" borderId="1" xfId="0" applyFont="1" applyFill="1" applyBorder="1"/>
    <xf numFmtId="0" fontId="22" fillId="9" borderId="1" xfId="0" applyFont="1" applyFill="1" applyBorder="1"/>
    <xf numFmtId="0" fontId="19" fillId="4" borderId="1" xfId="0" applyFont="1" applyFill="1" applyBorder="1"/>
    <xf numFmtId="16" fontId="19" fillId="4" borderId="1" xfId="0" applyNumberFormat="1" applyFont="1" applyFill="1" applyBorder="1"/>
    <xf numFmtId="0" fontId="18" fillId="4" borderId="1" xfId="0" applyFont="1" applyFill="1" applyBorder="1" applyAlignment="1">
      <alignment wrapText="1"/>
    </xf>
    <xf numFmtId="0" fontId="24" fillId="4" borderId="1" xfId="0" applyFont="1" applyFill="1" applyBorder="1"/>
    <xf numFmtId="0" fontId="25" fillId="4" borderId="1" xfId="0" applyFont="1" applyFill="1" applyBorder="1"/>
    <xf numFmtId="0" fontId="19" fillId="4" borderId="1" xfId="0" applyFont="1" applyFill="1" applyBorder="1" applyAlignment="1">
      <alignment wrapText="1"/>
    </xf>
    <xf numFmtId="0" fontId="12" fillId="4" borderId="1" xfId="0" applyFont="1" applyFill="1" applyBorder="1" applyAlignment="1">
      <alignment wrapText="1"/>
    </xf>
    <xf numFmtId="0" fontId="24" fillId="4" borderId="1" xfId="0" applyFont="1" applyFill="1" applyBorder="1" applyAlignment="1">
      <alignment wrapText="1"/>
    </xf>
    <xf numFmtId="15" fontId="24" fillId="4" borderId="1" xfId="0" applyNumberFormat="1" applyFont="1" applyFill="1" applyBorder="1"/>
    <xf numFmtId="0" fontId="19" fillId="4" borderId="1" xfId="0" applyFont="1" applyFill="1" applyBorder="1" applyAlignment="1">
      <alignment horizontal="center"/>
    </xf>
    <xf numFmtId="16" fontId="19" fillId="4" borderId="1" xfId="0" applyNumberFormat="1" applyFont="1" applyFill="1" applyBorder="1" applyAlignment="1">
      <alignment horizontal="center"/>
    </xf>
    <xf numFmtId="0" fontId="23" fillId="4" borderId="1" xfId="0" applyFont="1" applyFill="1" applyBorder="1"/>
    <xf numFmtId="15" fontId="25" fillId="4" borderId="1" xfId="0" applyNumberFormat="1" applyFont="1" applyFill="1" applyBorder="1"/>
    <xf numFmtId="0" fontId="18" fillId="4" borderId="1" xfId="0" applyFont="1" applyFill="1" applyBorder="1"/>
    <xf numFmtId="15" fontId="18" fillId="4" borderId="1" xfId="0" applyNumberFormat="1" applyFont="1" applyFill="1" applyBorder="1"/>
    <xf numFmtId="0" fontId="23" fillId="0" borderId="1" xfId="0" applyFont="1" applyBorder="1"/>
    <xf numFmtId="15" fontId="19" fillId="4" borderId="1" xfId="0" applyNumberFormat="1" applyFont="1" applyFill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6" fillId="5" borderId="2" xfId="0" applyFont="1" applyFill="1" applyBorder="1" applyAlignment="1"/>
    <xf numFmtId="0" fontId="7" fillId="0" borderId="0" xfId="0" applyFont="1" applyAlignment="1"/>
    <xf numFmtId="0" fontId="11" fillId="0" borderId="0" xfId="0" applyFont="1" applyAlignment="1"/>
    <xf numFmtId="0" fontId="12" fillId="0" borderId="0" xfId="0" applyFont="1" applyAlignment="1"/>
    <xf numFmtId="0" fontId="6" fillId="6" borderId="2" xfId="0" applyFont="1" applyFill="1" applyBorder="1" applyAlignment="1"/>
    <xf numFmtId="0" fontId="6" fillId="6" borderId="3" xfId="0" applyFont="1" applyFill="1" applyBorder="1" applyAlignment="1"/>
    <xf numFmtId="0" fontId="20" fillId="6" borderId="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C6600"/>
      <rgbColor rgb="FF800080"/>
      <rgbColor rgb="FF008080"/>
      <rgbColor rgb="FFB0B0B0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4A7FB5"/>
      <rgbColor rgb="FF33CCCC"/>
      <rgbColor rgb="FF99CC00"/>
      <rgbColor rgb="FFFFCC00"/>
      <rgbColor rgb="FFFF9800"/>
      <rgbColor rgb="FFFF6600"/>
      <rgbColor rgb="FF666666"/>
      <rgbColor rgb="FF999999"/>
      <rgbColor rgb="FF1B3A5C"/>
      <rgbColor rgb="FF2E7D32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5C"/>
  </sheetPr>
  <dimension ref="A1:I16"/>
  <sheetViews>
    <sheetView zoomScaleNormal="100" workbookViewId="0">
      <selection sqref="A1:I1"/>
    </sheetView>
  </sheetViews>
  <sheetFormatPr defaultColWidth="8.7109375" defaultRowHeight="14.45"/>
  <cols>
    <col min="1" max="1" width="12" customWidth="1"/>
    <col min="2" max="2" width="22" customWidth="1"/>
    <col min="3" max="3" width="14" customWidth="1"/>
    <col min="4" max="4" width="27.7109375" bestFit="1" customWidth="1"/>
    <col min="5" max="6" width="16" customWidth="1"/>
    <col min="7" max="7" width="18" customWidth="1"/>
    <col min="8" max="8" width="16" customWidth="1"/>
    <col min="9" max="9" width="40" customWidth="1"/>
  </cols>
  <sheetData>
    <row r="1" spans="1:9" ht="17.45">
      <c r="A1" s="38" t="s">
        <v>0</v>
      </c>
      <c r="B1" s="38"/>
      <c r="C1" s="38"/>
      <c r="D1" s="38"/>
      <c r="E1" s="38"/>
      <c r="F1" s="38"/>
      <c r="G1" s="38"/>
      <c r="H1" s="38"/>
      <c r="I1" s="38"/>
    </row>
    <row r="2" spans="1:9">
      <c r="A2" s="39" t="s">
        <v>1</v>
      </c>
      <c r="B2" s="39"/>
      <c r="C2" s="39"/>
      <c r="D2" s="39"/>
      <c r="E2" s="39"/>
      <c r="F2" s="39"/>
      <c r="G2" s="39"/>
      <c r="H2" s="39"/>
      <c r="I2" s="39"/>
    </row>
    <row r="4" spans="1:9" ht="28.1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>
      <c r="A5" s="2" t="s">
        <v>11</v>
      </c>
      <c r="B5" s="2" t="s">
        <v>12</v>
      </c>
      <c r="C5" s="3">
        <v>9</v>
      </c>
      <c r="D5" s="3" t="s">
        <v>13</v>
      </c>
      <c r="E5" s="4"/>
      <c r="F5" s="4"/>
      <c r="G5" s="4"/>
      <c r="H5" s="4"/>
      <c r="I5" s="5" t="s">
        <v>14</v>
      </c>
    </row>
    <row r="6" spans="1:9">
      <c r="A6" s="2" t="s">
        <v>15</v>
      </c>
      <c r="B6" s="2" t="s">
        <v>12</v>
      </c>
      <c r="C6" s="3">
        <v>10</v>
      </c>
      <c r="D6" s="3" t="s">
        <v>16</v>
      </c>
      <c r="E6" s="4"/>
      <c r="F6" s="4"/>
      <c r="G6" s="4"/>
      <c r="H6" s="4"/>
      <c r="I6" s="5" t="s">
        <v>14</v>
      </c>
    </row>
    <row r="7" spans="1:9">
      <c r="A7" s="2" t="s">
        <v>17</v>
      </c>
      <c r="B7" s="2" t="s">
        <v>18</v>
      </c>
      <c r="C7" s="3">
        <v>28</v>
      </c>
      <c r="D7" s="3" t="s">
        <v>19</v>
      </c>
      <c r="E7" s="4"/>
      <c r="F7" s="4"/>
      <c r="G7" s="4"/>
      <c r="H7" s="4"/>
      <c r="I7" s="5" t="s">
        <v>14</v>
      </c>
    </row>
    <row r="8" spans="1:9">
      <c r="A8" s="2" t="s">
        <v>20</v>
      </c>
      <c r="B8" s="2" t="s">
        <v>18</v>
      </c>
      <c r="C8" s="3">
        <v>33</v>
      </c>
      <c r="D8" s="3" t="s">
        <v>21</v>
      </c>
      <c r="E8" s="4"/>
      <c r="F8" s="4"/>
      <c r="G8" s="4"/>
      <c r="H8" s="4"/>
      <c r="I8" s="5" t="s">
        <v>14</v>
      </c>
    </row>
    <row r="9" spans="1:9">
      <c r="A9" s="2" t="s">
        <v>22</v>
      </c>
      <c r="B9" s="2" t="s">
        <v>18</v>
      </c>
      <c r="C9" s="3">
        <v>39</v>
      </c>
      <c r="D9" s="3" t="s">
        <v>23</v>
      </c>
      <c r="E9" s="4"/>
      <c r="F9" s="4"/>
      <c r="G9" s="4"/>
      <c r="H9" s="4"/>
      <c r="I9" s="5" t="s">
        <v>14</v>
      </c>
    </row>
    <row r="10" spans="1:9">
      <c r="A10" s="2" t="s">
        <v>24</v>
      </c>
      <c r="B10" s="2" t="s">
        <v>18</v>
      </c>
      <c r="C10" s="3">
        <v>44</v>
      </c>
      <c r="D10" s="3" t="s">
        <v>25</v>
      </c>
      <c r="E10" s="4"/>
      <c r="F10" s="4"/>
      <c r="G10" s="4"/>
      <c r="H10" s="4"/>
      <c r="I10" s="5" t="s">
        <v>14</v>
      </c>
    </row>
    <row r="11" spans="1:9">
      <c r="A11" s="2" t="s">
        <v>26</v>
      </c>
      <c r="B11" s="2" t="s">
        <v>18</v>
      </c>
      <c r="C11" s="2">
        <v>35</v>
      </c>
      <c r="D11" s="2" t="s">
        <v>27</v>
      </c>
      <c r="E11" s="2">
        <v>22</v>
      </c>
      <c r="F11" s="2">
        <v>14</v>
      </c>
      <c r="G11" s="2">
        <v>12</v>
      </c>
      <c r="H11" s="2">
        <v>2</v>
      </c>
      <c r="I11" s="2" t="s">
        <v>28</v>
      </c>
    </row>
    <row r="13" spans="1:9">
      <c r="A13" s="46" t="s">
        <v>29</v>
      </c>
      <c r="B13" s="46"/>
      <c r="C13" s="6">
        <f>SUM(C5:C11)</f>
        <v>198</v>
      </c>
      <c r="D13" s="7"/>
      <c r="E13" s="6">
        <f>SUM(E5:E11)</f>
        <v>22</v>
      </c>
      <c r="F13" s="6">
        <f>SUM(F5:F11)</f>
        <v>14</v>
      </c>
      <c r="G13" s="6">
        <f>SUM(G5:G11)</f>
        <v>12</v>
      </c>
      <c r="H13" s="6">
        <f>SUM(H5:H11)</f>
        <v>2</v>
      </c>
      <c r="I13" s="7"/>
    </row>
    <row r="15" spans="1:9">
      <c r="A15" s="47" t="s">
        <v>30</v>
      </c>
      <c r="B15" s="47"/>
      <c r="C15" s="47"/>
      <c r="D15" s="47"/>
      <c r="E15" s="47"/>
      <c r="F15" s="47"/>
      <c r="G15" s="47"/>
      <c r="H15" s="47"/>
      <c r="I15" s="47"/>
    </row>
    <row r="16" spans="1:9">
      <c r="A16" s="47" t="s">
        <v>31</v>
      </c>
      <c r="B16" s="47"/>
      <c r="C16" s="47"/>
      <c r="D16" s="47"/>
      <c r="E16" s="47"/>
      <c r="F16" s="47"/>
      <c r="G16" s="47"/>
      <c r="H16" s="47"/>
      <c r="I16" s="47"/>
    </row>
  </sheetData>
  <mergeCells count="5">
    <mergeCell ref="A1:I1"/>
    <mergeCell ref="A2:I2"/>
    <mergeCell ref="A13:B13"/>
    <mergeCell ref="A15:I15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6600"/>
  </sheetPr>
  <dimension ref="A1:G19"/>
  <sheetViews>
    <sheetView zoomScaleNormal="100" workbookViewId="0">
      <selection sqref="A1:G1"/>
    </sheetView>
  </sheetViews>
  <sheetFormatPr defaultColWidth="8.7109375" defaultRowHeight="14.45"/>
  <cols>
    <col min="1" max="1" width="120" customWidth="1"/>
  </cols>
  <sheetData>
    <row r="1" spans="1:7" ht="17.25" customHeight="1">
      <c r="A1" s="40" t="s">
        <v>32</v>
      </c>
      <c r="B1" s="40"/>
      <c r="C1" s="40"/>
      <c r="D1" s="40"/>
      <c r="E1" s="40"/>
      <c r="F1" s="40"/>
      <c r="G1" s="40"/>
    </row>
    <row r="2" spans="1:7">
      <c r="A2" s="41"/>
      <c r="B2" s="41"/>
      <c r="C2" s="41"/>
      <c r="D2" s="41"/>
      <c r="E2" s="41"/>
      <c r="F2" s="41"/>
      <c r="G2" s="41"/>
    </row>
    <row r="3" spans="1:7" ht="15" customHeight="1">
      <c r="A3" s="42" t="s">
        <v>33</v>
      </c>
      <c r="B3" s="42"/>
      <c r="C3" s="42"/>
      <c r="D3" s="42"/>
      <c r="E3" s="42"/>
      <c r="F3" s="42"/>
      <c r="G3" s="42"/>
    </row>
    <row r="4" spans="1:7">
      <c r="A4" s="41"/>
      <c r="B4" s="41"/>
      <c r="C4" s="41"/>
      <c r="D4" s="41"/>
      <c r="E4" s="41"/>
      <c r="F4" s="41"/>
      <c r="G4" s="41"/>
    </row>
    <row r="5" spans="1:7" ht="15" customHeight="1">
      <c r="A5" s="43" t="s">
        <v>34</v>
      </c>
      <c r="B5" s="43"/>
      <c r="C5" s="43"/>
      <c r="D5" s="43"/>
      <c r="E5" s="43"/>
      <c r="F5" s="43"/>
      <c r="G5" s="43"/>
    </row>
    <row r="6" spans="1:7" ht="15" customHeight="1">
      <c r="A6" s="44" t="s">
        <v>35</v>
      </c>
      <c r="B6" s="44"/>
      <c r="C6" s="44"/>
      <c r="D6" s="44"/>
      <c r="E6" s="44"/>
      <c r="F6" s="44"/>
      <c r="G6" s="44"/>
    </row>
    <row r="7" spans="1:7" ht="15" customHeight="1">
      <c r="A7" s="44" t="s">
        <v>36</v>
      </c>
      <c r="B7" s="44"/>
      <c r="C7" s="44"/>
      <c r="D7" s="44"/>
      <c r="E7" s="44"/>
      <c r="F7" s="44"/>
      <c r="G7" s="44"/>
    </row>
    <row r="8" spans="1:7" ht="15" customHeight="1">
      <c r="A8" s="44" t="s">
        <v>37</v>
      </c>
      <c r="B8" s="44"/>
      <c r="C8" s="44"/>
      <c r="D8" s="44"/>
      <c r="E8" s="44"/>
      <c r="F8" s="44"/>
      <c r="G8" s="44"/>
    </row>
    <row r="9" spans="1:7" ht="15" customHeight="1">
      <c r="A9" s="44" t="s">
        <v>38</v>
      </c>
      <c r="B9" s="44"/>
      <c r="C9" s="44"/>
      <c r="D9" s="44"/>
      <c r="E9" s="44"/>
      <c r="F9" s="44"/>
      <c r="G9" s="44"/>
    </row>
    <row r="10" spans="1:7" ht="15" customHeight="1">
      <c r="A10" s="44" t="s">
        <v>39</v>
      </c>
      <c r="B10" s="44"/>
      <c r="C10" s="44"/>
      <c r="D10" s="44"/>
      <c r="E10" s="44"/>
      <c r="F10" s="44"/>
      <c r="G10" s="44"/>
    </row>
    <row r="11" spans="1:7">
      <c r="A11" s="41"/>
      <c r="B11" s="41"/>
      <c r="C11" s="41"/>
      <c r="D11" s="41"/>
      <c r="E11" s="41"/>
      <c r="F11" s="41"/>
      <c r="G11" s="41"/>
    </row>
    <row r="12" spans="1:7" ht="15" customHeight="1">
      <c r="A12" s="43" t="s">
        <v>40</v>
      </c>
      <c r="B12" s="43"/>
      <c r="C12" s="43"/>
      <c r="D12" s="43"/>
      <c r="E12" s="43"/>
      <c r="F12" s="43"/>
      <c r="G12" s="43"/>
    </row>
    <row r="13" spans="1:7" ht="15" customHeight="1">
      <c r="A13" s="44" t="s">
        <v>41</v>
      </c>
      <c r="B13" s="44"/>
      <c r="C13" s="44"/>
      <c r="D13" s="44"/>
      <c r="E13" s="44"/>
      <c r="F13" s="44"/>
      <c r="G13" s="44"/>
    </row>
    <row r="14" spans="1:7" ht="15" customHeight="1">
      <c r="A14" s="44" t="s">
        <v>42</v>
      </c>
      <c r="B14" s="44"/>
      <c r="C14" s="44"/>
      <c r="D14" s="44"/>
      <c r="E14" s="44"/>
      <c r="F14" s="44"/>
      <c r="G14" s="44"/>
    </row>
    <row r="15" spans="1:7" ht="15" customHeight="1">
      <c r="A15" s="45" t="s">
        <v>43</v>
      </c>
      <c r="B15" s="45"/>
      <c r="C15" s="45"/>
      <c r="D15" s="45"/>
      <c r="E15" s="45"/>
      <c r="F15" s="45"/>
      <c r="G15" s="45"/>
    </row>
    <row r="16" spans="1:7" ht="15" customHeight="1">
      <c r="A16" s="44" t="s">
        <v>44</v>
      </c>
      <c r="B16" s="44"/>
      <c r="C16" s="44"/>
      <c r="D16" s="44"/>
      <c r="E16" s="44"/>
      <c r="F16" s="44"/>
      <c r="G16" s="44"/>
    </row>
    <row r="17" spans="1:7" ht="15" customHeight="1">
      <c r="A17" s="44" t="s">
        <v>45</v>
      </c>
      <c r="B17" s="44"/>
      <c r="C17" s="44"/>
      <c r="D17" s="44"/>
      <c r="E17" s="44"/>
      <c r="F17" s="44"/>
      <c r="G17" s="44"/>
    </row>
    <row r="18" spans="1:7">
      <c r="A18" s="41"/>
      <c r="B18" s="41"/>
      <c r="C18" s="41"/>
      <c r="D18" s="41"/>
      <c r="E18" s="41"/>
      <c r="F18" s="41"/>
      <c r="G18" s="41"/>
    </row>
    <row r="19" spans="1:7" ht="15" customHeight="1">
      <c r="A19" s="44" t="s">
        <v>46</v>
      </c>
      <c r="B19" s="44"/>
      <c r="C19" s="44"/>
      <c r="D19" s="44"/>
      <c r="E19" s="44"/>
      <c r="F19" s="44"/>
      <c r="G19" s="44"/>
    </row>
  </sheetData>
  <mergeCells count="19">
    <mergeCell ref="A16:G16"/>
    <mergeCell ref="A17:G17"/>
    <mergeCell ref="A18:G18"/>
    <mergeCell ref="A19:G19"/>
    <mergeCell ref="A11:G11"/>
    <mergeCell ref="A12:G12"/>
    <mergeCell ref="A13:G13"/>
    <mergeCell ref="A14:G14"/>
    <mergeCell ref="A15:G15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800"/>
  </sheetPr>
  <dimension ref="A1:G55"/>
  <sheetViews>
    <sheetView topLeftCell="A31" zoomScaleNormal="100" workbookViewId="0">
      <selection activeCell="C44" sqref="C44"/>
    </sheetView>
  </sheetViews>
  <sheetFormatPr defaultColWidth="8.7109375" defaultRowHeight="14.45"/>
  <cols>
    <col min="1" max="1" width="30" customWidth="1"/>
    <col min="2" max="2" width="22" customWidth="1"/>
    <col min="3" max="3" width="16" customWidth="1"/>
    <col min="4" max="4" width="30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47</v>
      </c>
      <c r="B1" s="48"/>
      <c r="C1" s="48"/>
      <c r="D1" s="48"/>
      <c r="E1" s="48"/>
      <c r="F1" s="48"/>
      <c r="G1" s="48"/>
    </row>
    <row r="2" spans="1:7">
      <c r="A2" s="49" t="s">
        <v>48</v>
      </c>
      <c r="B2" s="49"/>
      <c r="C2" s="49"/>
      <c r="D2" s="49"/>
      <c r="E2" s="49"/>
      <c r="F2" s="49"/>
      <c r="G2" s="49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53</v>
      </c>
      <c r="C6" s="3">
        <v>6</v>
      </c>
      <c r="D6" s="3"/>
      <c r="E6" s="3"/>
      <c r="F6" s="3"/>
      <c r="G6" s="3"/>
    </row>
    <row r="7" spans="1:7">
      <c r="A7" s="3" t="s">
        <v>12</v>
      </c>
      <c r="B7" s="3" t="s">
        <v>54</v>
      </c>
      <c r="C7" s="3">
        <v>2</v>
      </c>
      <c r="D7" s="3"/>
      <c r="E7" s="3"/>
      <c r="F7" s="3"/>
      <c r="G7" s="3"/>
    </row>
    <row r="8" spans="1:7">
      <c r="A8" s="3" t="s">
        <v>12</v>
      </c>
      <c r="B8" s="3" t="s">
        <v>55</v>
      </c>
      <c r="C8" s="3">
        <v>1</v>
      </c>
      <c r="D8" s="3"/>
      <c r="E8" s="3"/>
      <c r="F8" s="3"/>
      <c r="G8" s="3"/>
    </row>
    <row r="9" spans="1:7">
      <c r="A9" s="4"/>
      <c r="B9" s="4"/>
      <c r="C9" s="4"/>
      <c r="D9" s="4"/>
    </row>
    <row r="10" spans="1:7">
      <c r="A10" s="4"/>
      <c r="B10" s="4"/>
      <c r="C10" s="4"/>
      <c r="D10" s="4"/>
    </row>
    <row r="11" spans="1:7">
      <c r="A11" s="4"/>
      <c r="B11" s="4"/>
      <c r="C11" s="4"/>
      <c r="D11" s="4"/>
    </row>
    <row r="12" spans="1:7">
      <c r="A12" s="6" t="s">
        <v>56</v>
      </c>
      <c r="B12" s="6"/>
      <c r="C12" s="6">
        <f>SUM(C6:C11)</f>
        <v>9</v>
      </c>
      <c r="D12" s="6"/>
      <c r="E12" s="6"/>
      <c r="F12" s="6"/>
      <c r="G12" s="6"/>
    </row>
    <row r="14" spans="1:7">
      <c r="A14" s="50" t="s">
        <v>57</v>
      </c>
      <c r="B14" s="50"/>
      <c r="C14" s="50"/>
      <c r="D14" s="50"/>
      <c r="E14" s="50"/>
      <c r="F14" s="50"/>
      <c r="G14" s="50"/>
    </row>
    <row r="15" spans="1:7">
      <c r="A15" s="8" t="s">
        <v>58</v>
      </c>
      <c r="B15" s="8" t="s">
        <v>59</v>
      </c>
      <c r="C15" s="8" t="s">
        <v>51</v>
      </c>
      <c r="D15" s="8" t="s">
        <v>50</v>
      </c>
      <c r="E15" s="8" t="s">
        <v>60</v>
      </c>
      <c r="F15" s="8" t="s">
        <v>61</v>
      </c>
      <c r="G15" s="8" t="s">
        <v>10</v>
      </c>
    </row>
    <row r="16" spans="1:7">
      <c r="A16" s="21" t="s">
        <v>62</v>
      </c>
      <c r="B16" s="21" t="s">
        <v>63</v>
      </c>
      <c r="C16" s="21" t="s">
        <v>64</v>
      </c>
      <c r="D16" s="21" t="s">
        <v>65</v>
      </c>
      <c r="E16" s="21" t="s">
        <v>66</v>
      </c>
      <c r="F16" s="21">
        <v>1</v>
      </c>
      <c r="G16" s="21"/>
    </row>
    <row r="17" spans="1:7">
      <c r="A17" s="21" t="s">
        <v>67</v>
      </c>
      <c r="B17" s="21" t="s">
        <v>68</v>
      </c>
      <c r="C17" s="21" t="s">
        <v>53</v>
      </c>
      <c r="D17" s="21" t="s">
        <v>65</v>
      </c>
      <c r="E17" s="21" t="s">
        <v>69</v>
      </c>
      <c r="F17" s="21"/>
      <c r="G17" s="21"/>
    </row>
    <row r="18" spans="1:7">
      <c r="A18" s="21" t="s">
        <v>70</v>
      </c>
      <c r="B18" s="21" t="s">
        <v>71</v>
      </c>
      <c r="C18" s="21" t="s">
        <v>53</v>
      </c>
      <c r="D18" s="21" t="s">
        <v>65</v>
      </c>
      <c r="E18" s="21" t="s">
        <v>69</v>
      </c>
      <c r="F18" s="21"/>
      <c r="G18" s="21"/>
    </row>
    <row r="19" spans="1:7">
      <c r="A19" s="21" t="s">
        <v>72</v>
      </c>
      <c r="B19" s="21" t="s">
        <v>73</v>
      </c>
      <c r="C19" s="21" t="s">
        <v>64</v>
      </c>
      <c r="D19" s="21" t="s">
        <v>65</v>
      </c>
      <c r="E19" s="21" t="s">
        <v>69</v>
      </c>
      <c r="F19" s="21"/>
      <c r="G19" s="21"/>
    </row>
    <row r="20" spans="1:7">
      <c r="A20" s="21" t="s">
        <v>74</v>
      </c>
      <c r="B20" s="21" t="s">
        <v>75</v>
      </c>
      <c r="C20" s="21" t="s">
        <v>53</v>
      </c>
      <c r="D20" s="21" t="s">
        <v>65</v>
      </c>
      <c r="E20" s="21" t="s">
        <v>69</v>
      </c>
      <c r="F20" s="21"/>
      <c r="G20" s="21"/>
    </row>
    <row r="21" spans="1:7">
      <c r="A21" s="21" t="s">
        <v>76</v>
      </c>
      <c r="B21" s="21" t="s">
        <v>77</v>
      </c>
      <c r="C21" s="21" t="s">
        <v>53</v>
      </c>
      <c r="D21" s="21" t="s">
        <v>65</v>
      </c>
      <c r="E21" s="21" t="s">
        <v>69</v>
      </c>
      <c r="F21" s="21"/>
      <c r="G21" s="21"/>
    </row>
    <row r="22" spans="1:7">
      <c r="A22" s="21" t="s">
        <v>78</v>
      </c>
      <c r="B22" s="21" t="s">
        <v>79</v>
      </c>
      <c r="C22" s="21" t="s">
        <v>53</v>
      </c>
      <c r="D22" s="21" t="s">
        <v>65</v>
      </c>
      <c r="E22" s="21" t="s">
        <v>69</v>
      </c>
      <c r="F22" s="21"/>
      <c r="G22" s="21"/>
    </row>
    <row r="23" spans="1:7">
      <c r="A23" s="21" t="s">
        <v>80</v>
      </c>
      <c r="B23" s="21" t="s">
        <v>81</v>
      </c>
      <c r="C23" s="21" t="s">
        <v>55</v>
      </c>
      <c r="D23" s="21" t="s">
        <v>65</v>
      </c>
      <c r="E23" s="21" t="s">
        <v>69</v>
      </c>
      <c r="F23" s="21"/>
      <c r="G23" s="21"/>
    </row>
    <row r="24" spans="1:7">
      <c r="A24" s="26" t="s">
        <v>82</v>
      </c>
      <c r="B24" s="21" t="s">
        <v>83</v>
      </c>
      <c r="C24" s="21" t="s">
        <v>53</v>
      </c>
      <c r="D24" s="21" t="s">
        <v>65</v>
      </c>
      <c r="E24" s="21" t="s">
        <v>69</v>
      </c>
      <c r="F24" s="21"/>
      <c r="G24" s="21"/>
    </row>
    <row r="25" spans="1:7">
      <c r="A25" s="21"/>
      <c r="B25" s="21"/>
      <c r="C25" s="21"/>
      <c r="D25" s="21"/>
      <c r="E25" s="21"/>
      <c r="F25" s="21"/>
      <c r="G25" s="21"/>
    </row>
    <row r="26" spans="1:7">
      <c r="A26" s="21"/>
      <c r="B26" s="21"/>
      <c r="C26" s="21"/>
      <c r="D26" s="21"/>
      <c r="E26" s="21"/>
      <c r="F26" s="21"/>
      <c r="G26" s="21"/>
    </row>
    <row r="27" spans="1:7">
      <c r="A27" s="21"/>
      <c r="B27" s="21"/>
      <c r="C27" s="21"/>
      <c r="D27" s="21"/>
      <c r="E27" s="21"/>
      <c r="F27" s="21"/>
      <c r="G27" s="21"/>
    </row>
    <row r="28" spans="1:7">
      <c r="A28" s="21"/>
      <c r="B28" s="21"/>
      <c r="C28" s="21"/>
      <c r="D28" s="21"/>
      <c r="E28" s="21"/>
      <c r="F28" s="21"/>
      <c r="G28" s="21"/>
    </row>
    <row r="29" spans="1:7">
      <c r="A29" s="21"/>
      <c r="B29" s="21"/>
      <c r="C29" s="21"/>
      <c r="D29" s="21"/>
      <c r="E29" s="21"/>
      <c r="F29" s="21"/>
      <c r="G29" s="21"/>
    </row>
    <row r="30" spans="1:7">
      <c r="A30" s="21"/>
      <c r="B30" s="21"/>
      <c r="C30" s="21"/>
      <c r="D30" s="21"/>
      <c r="E30" s="21"/>
      <c r="F30" s="21"/>
      <c r="G30" s="21"/>
    </row>
    <row r="31" spans="1:7">
      <c r="A31" s="6" t="s">
        <v>84</v>
      </c>
      <c r="B31" s="6"/>
      <c r="C31" s="6"/>
      <c r="D31" s="6"/>
      <c r="E31" s="6">
        <f>COUNTIF(E16:E30,"Y")</f>
        <v>1</v>
      </c>
      <c r="F31" s="6">
        <f>SUM(F16:F30)</f>
        <v>1</v>
      </c>
      <c r="G31" s="6"/>
    </row>
    <row r="33" spans="1:7">
      <c r="A33" s="50" t="s">
        <v>85</v>
      </c>
      <c r="B33" s="50"/>
      <c r="C33" s="50"/>
      <c r="D33" s="50"/>
      <c r="E33" s="50"/>
      <c r="F33" s="50"/>
      <c r="G33" s="50"/>
    </row>
    <row r="34" spans="1:7">
      <c r="A34" s="8" t="s">
        <v>86</v>
      </c>
      <c r="B34" s="8" t="s">
        <v>59</v>
      </c>
      <c r="C34" s="8" t="s">
        <v>51</v>
      </c>
      <c r="D34" s="8" t="s">
        <v>87</v>
      </c>
      <c r="E34" s="8" t="s">
        <v>88</v>
      </c>
      <c r="F34" s="8" t="s">
        <v>89</v>
      </c>
      <c r="G34" s="8" t="s">
        <v>10</v>
      </c>
    </row>
    <row r="35" spans="1:7">
      <c r="A35" s="21" t="s">
        <v>90</v>
      </c>
      <c r="B35" s="21" t="s">
        <v>63</v>
      </c>
      <c r="C35" s="21" t="s">
        <v>64</v>
      </c>
      <c r="D35" s="21" t="s">
        <v>65</v>
      </c>
      <c r="E35" s="37">
        <v>43791</v>
      </c>
      <c r="F35" s="21" t="s">
        <v>91</v>
      </c>
      <c r="G35" s="21"/>
    </row>
    <row r="37" spans="1:7">
      <c r="A37" s="46" t="s">
        <v>92</v>
      </c>
      <c r="B37" s="46"/>
      <c r="C37" s="6">
        <f>COUNTA(A35:A35)</f>
        <v>1</v>
      </c>
      <c r="D37" s="7"/>
      <c r="E37" s="7"/>
      <c r="F37" s="7"/>
      <c r="G37" s="7"/>
    </row>
    <row r="38" spans="1:7">
      <c r="A38" s="46" t="s">
        <v>93</v>
      </c>
      <c r="B38" s="46"/>
      <c r="C38" s="6">
        <f>COUNTIF(F35:F35,1)</f>
        <v>0</v>
      </c>
      <c r="D38" s="7"/>
      <c r="E38" s="7"/>
      <c r="F38" s="7"/>
      <c r="G38" s="7"/>
    </row>
    <row r="39" spans="1:7">
      <c r="A39" s="46" t="s">
        <v>94</v>
      </c>
      <c r="B39" s="46"/>
      <c r="C39" s="6">
        <f>C37-C38</f>
        <v>1</v>
      </c>
      <c r="D39" s="7"/>
      <c r="E39" s="7"/>
      <c r="F39" s="7"/>
      <c r="G39" s="7"/>
    </row>
    <row r="41" spans="1:7">
      <c r="A41" s="50" t="s">
        <v>95</v>
      </c>
      <c r="B41" s="50"/>
      <c r="C41" s="50"/>
      <c r="D41" s="50"/>
      <c r="E41" s="50"/>
      <c r="F41" s="50"/>
      <c r="G41" s="50"/>
    </row>
    <row r="42" spans="1:7">
      <c r="A42" s="10" t="s">
        <v>96</v>
      </c>
    </row>
    <row r="43" spans="1:7">
      <c r="A43" s="8" t="s">
        <v>59</v>
      </c>
      <c r="B43" s="8" t="s">
        <v>51</v>
      </c>
      <c r="C43" s="8" t="s">
        <v>10</v>
      </c>
      <c r="D43" s="8"/>
      <c r="E43" s="8"/>
      <c r="F43" s="8"/>
      <c r="G43" s="8"/>
    </row>
    <row r="44" spans="1:7">
      <c r="A44" s="21" t="s">
        <v>63</v>
      </c>
      <c r="B44" s="21" t="s">
        <v>64</v>
      </c>
      <c r="C44" s="21"/>
    </row>
    <row r="45" spans="1:7">
      <c r="A45" s="21" t="s">
        <v>68</v>
      </c>
      <c r="B45" s="21" t="s">
        <v>53</v>
      </c>
      <c r="C45" s="21"/>
    </row>
    <row r="46" spans="1:7">
      <c r="A46" s="21" t="s">
        <v>71</v>
      </c>
      <c r="B46" s="21" t="s">
        <v>53</v>
      </c>
      <c r="C46" s="21"/>
    </row>
    <row r="47" spans="1:7">
      <c r="A47" s="21" t="s">
        <v>73</v>
      </c>
      <c r="B47" s="21" t="s">
        <v>64</v>
      </c>
      <c r="C47" s="21"/>
    </row>
    <row r="48" spans="1:7">
      <c r="A48" s="21" t="s">
        <v>75</v>
      </c>
      <c r="B48" s="21" t="s">
        <v>53</v>
      </c>
      <c r="C48" s="21"/>
    </row>
    <row r="49" spans="1:7">
      <c r="A49" s="21" t="s">
        <v>77</v>
      </c>
      <c r="B49" s="21" t="s">
        <v>53</v>
      </c>
      <c r="C49" s="21"/>
    </row>
    <row r="50" spans="1:7">
      <c r="A50" s="21" t="s">
        <v>79</v>
      </c>
      <c r="B50" s="21" t="s">
        <v>53</v>
      </c>
      <c r="C50" s="21"/>
    </row>
    <row r="51" spans="1:7">
      <c r="A51" s="21" t="s">
        <v>81</v>
      </c>
      <c r="B51" s="21" t="s">
        <v>55</v>
      </c>
      <c r="C51" s="21"/>
    </row>
    <row r="52" spans="1:7">
      <c r="A52" s="21" t="s">
        <v>83</v>
      </c>
      <c r="B52" s="21" t="s">
        <v>53</v>
      </c>
      <c r="C52" s="21"/>
    </row>
    <row r="53" spans="1:7">
      <c r="A53" s="21"/>
      <c r="B53" s="21"/>
      <c r="C53" s="21"/>
    </row>
    <row r="55" spans="1:7">
      <c r="A55" s="6" t="s">
        <v>97</v>
      </c>
      <c r="B55" s="6">
        <v>9</v>
      </c>
      <c r="C55" s="6"/>
      <c r="D55" s="6"/>
      <c r="E55" s="6"/>
      <c r="F55" s="6"/>
      <c r="G55" s="6"/>
    </row>
  </sheetData>
  <mergeCells count="9">
    <mergeCell ref="A37:B37"/>
    <mergeCell ref="A38:B38"/>
    <mergeCell ref="A39:B39"/>
    <mergeCell ref="A41:G41"/>
    <mergeCell ref="A1:G1"/>
    <mergeCell ref="A2:G2"/>
    <mergeCell ref="A4:G4"/>
    <mergeCell ref="A14:G14"/>
    <mergeCell ref="A33:G3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9800"/>
  </sheetPr>
  <dimension ref="A1:G65"/>
  <sheetViews>
    <sheetView zoomScaleNormal="100" workbookViewId="0">
      <selection activeCell="B14" sqref="B14"/>
    </sheetView>
  </sheetViews>
  <sheetFormatPr defaultColWidth="8.7109375" defaultRowHeight="14.45"/>
  <cols>
    <col min="1" max="1" width="30" customWidth="1"/>
    <col min="2" max="2" width="22" customWidth="1"/>
    <col min="3" max="3" width="16" customWidth="1"/>
    <col min="4" max="4" width="30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98</v>
      </c>
      <c r="B1" s="48"/>
      <c r="C1" s="48"/>
      <c r="D1" s="48"/>
      <c r="E1" s="48"/>
      <c r="F1" s="48"/>
      <c r="G1" s="48"/>
    </row>
    <row r="2" spans="1:7">
      <c r="A2" s="49" t="s">
        <v>48</v>
      </c>
      <c r="B2" s="49"/>
      <c r="C2" s="49"/>
      <c r="D2" s="49"/>
      <c r="E2" s="49"/>
      <c r="F2" s="49"/>
      <c r="G2" s="49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53</v>
      </c>
      <c r="C6" s="3">
        <v>5</v>
      </c>
      <c r="D6" s="3"/>
      <c r="E6" s="3"/>
      <c r="F6" s="3"/>
      <c r="G6" s="3"/>
    </row>
    <row r="7" spans="1:7">
      <c r="A7" s="3" t="s">
        <v>12</v>
      </c>
      <c r="B7" s="3" t="s">
        <v>99</v>
      </c>
      <c r="C7" s="3">
        <v>2</v>
      </c>
      <c r="D7" s="3"/>
      <c r="E7" s="3"/>
      <c r="F7" s="3"/>
      <c r="G7" s="3"/>
    </row>
    <row r="8" spans="1:7">
      <c r="A8" s="3" t="s">
        <v>12</v>
      </c>
      <c r="B8" s="3" t="s">
        <v>100</v>
      </c>
      <c r="C8" s="3">
        <v>1</v>
      </c>
      <c r="D8" s="3"/>
      <c r="E8" s="3"/>
      <c r="F8" s="3"/>
      <c r="G8" s="3"/>
    </row>
    <row r="9" spans="1:7">
      <c r="A9" s="3" t="s">
        <v>12</v>
      </c>
      <c r="B9" s="3" t="s">
        <v>101</v>
      </c>
      <c r="C9" s="3">
        <v>2</v>
      </c>
      <c r="D9" s="3"/>
      <c r="E9" s="3"/>
      <c r="F9" s="3"/>
      <c r="G9" s="3"/>
    </row>
    <row r="10" spans="1:7">
      <c r="A10" s="4"/>
      <c r="B10" s="4"/>
      <c r="C10" s="4"/>
      <c r="D10" s="4"/>
    </row>
    <row r="11" spans="1:7">
      <c r="A11" s="4"/>
      <c r="B11" s="4"/>
      <c r="C11" s="4"/>
      <c r="D11" s="4"/>
    </row>
    <row r="12" spans="1:7">
      <c r="A12" s="4"/>
      <c r="B12" s="4"/>
      <c r="C12" s="4"/>
      <c r="D12" s="4"/>
    </row>
    <row r="13" spans="1:7">
      <c r="A13" s="6" t="s">
        <v>56</v>
      </c>
      <c r="B13" s="6"/>
      <c r="C13" s="6">
        <f>SUM(C6:C12)</f>
        <v>10</v>
      </c>
      <c r="D13" s="6"/>
      <c r="E13" s="6"/>
      <c r="F13" s="6"/>
      <c r="G13" s="6"/>
    </row>
    <row r="15" spans="1:7">
      <c r="A15" s="50" t="s">
        <v>57</v>
      </c>
      <c r="B15" s="50"/>
      <c r="C15" s="50"/>
      <c r="D15" s="50"/>
      <c r="E15" s="50"/>
      <c r="F15" s="50"/>
      <c r="G15" s="50"/>
    </row>
    <row r="16" spans="1:7">
      <c r="A16" s="8" t="s">
        <v>58</v>
      </c>
      <c r="B16" s="8" t="s">
        <v>59</v>
      </c>
      <c r="C16" s="8" t="s">
        <v>51</v>
      </c>
      <c r="D16" s="8" t="s">
        <v>50</v>
      </c>
      <c r="E16" s="8" t="s">
        <v>60</v>
      </c>
      <c r="F16" s="8" t="s">
        <v>61</v>
      </c>
      <c r="G16" s="8" t="s">
        <v>10</v>
      </c>
    </row>
    <row r="17" spans="1:7">
      <c r="A17" s="24" t="s">
        <v>102</v>
      </c>
      <c r="B17" s="24" t="s">
        <v>103</v>
      </c>
      <c r="C17" s="24" t="s">
        <v>53</v>
      </c>
      <c r="D17" s="24" t="s">
        <v>65</v>
      </c>
      <c r="E17" s="24" t="s">
        <v>69</v>
      </c>
      <c r="F17" s="9"/>
      <c r="G17" s="9"/>
    </row>
    <row r="18" spans="1:7">
      <c r="A18" s="24" t="s">
        <v>104</v>
      </c>
      <c r="B18" s="24" t="s">
        <v>105</v>
      </c>
      <c r="C18" s="24" t="s">
        <v>99</v>
      </c>
      <c r="D18" s="24" t="s">
        <v>65</v>
      </c>
      <c r="E18" s="24" t="s">
        <v>69</v>
      </c>
      <c r="F18" s="9"/>
      <c r="G18" s="9"/>
    </row>
    <row r="19" spans="1:7">
      <c r="A19" s="24" t="s">
        <v>106</v>
      </c>
      <c r="B19" s="24" t="s">
        <v>107</v>
      </c>
      <c r="C19" s="24" t="s">
        <v>53</v>
      </c>
      <c r="D19" s="24" t="s">
        <v>65</v>
      </c>
      <c r="E19" s="24" t="s">
        <v>69</v>
      </c>
      <c r="F19" s="9"/>
      <c r="G19" s="9"/>
    </row>
    <row r="20" spans="1:7">
      <c r="A20" s="24" t="s">
        <v>108</v>
      </c>
      <c r="B20" s="24" t="s">
        <v>109</v>
      </c>
      <c r="C20" s="24" t="s">
        <v>53</v>
      </c>
      <c r="D20" s="24" t="s">
        <v>65</v>
      </c>
      <c r="E20" s="24" t="s">
        <v>69</v>
      </c>
      <c r="F20" s="9"/>
      <c r="G20" s="9"/>
    </row>
    <row r="21" spans="1:7">
      <c r="A21" s="24" t="s">
        <v>110</v>
      </c>
      <c r="B21" s="24" t="s">
        <v>111</v>
      </c>
      <c r="C21" s="24" t="s">
        <v>101</v>
      </c>
      <c r="D21" s="24" t="s">
        <v>65</v>
      </c>
      <c r="E21" s="24" t="s">
        <v>69</v>
      </c>
      <c r="F21" s="9"/>
      <c r="G21" s="9"/>
    </row>
    <row r="22" spans="1:7">
      <c r="A22" s="24" t="s">
        <v>112</v>
      </c>
      <c r="B22" s="24" t="s">
        <v>113</v>
      </c>
      <c r="C22" s="24" t="s">
        <v>100</v>
      </c>
      <c r="D22" s="24" t="s">
        <v>65</v>
      </c>
      <c r="E22" s="24" t="s">
        <v>69</v>
      </c>
      <c r="F22" s="9"/>
      <c r="G22" s="9"/>
    </row>
    <row r="23" spans="1:7">
      <c r="A23" s="24" t="s">
        <v>114</v>
      </c>
      <c r="B23" s="24" t="s">
        <v>75</v>
      </c>
      <c r="C23" s="24" t="s">
        <v>53</v>
      </c>
      <c r="D23" s="24" t="s">
        <v>65</v>
      </c>
      <c r="E23" s="24" t="s">
        <v>69</v>
      </c>
      <c r="F23" s="9"/>
      <c r="G23" s="9"/>
    </row>
    <row r="24" spans="1:7">
      <c r="A24" s="24" t="s">
        <v>115</v>
      </c>
      <c r="B24" s="24" t="s">
        <v>116</v>
      </c>
      <c r="C24" s="24" t="s">
        <v>101</v>
      </c>
      <c r="D24" s="24" t="s">
        <v>65</v>
      </c>
      <c r="E24" s="24" t="s">
        <v>69</v>
      </c>
      <c r="F24" s="9"/>
      <c r="G24" s="9"/>
    </row>
    <row r="25" spans="1:7">
      <c r="A25" s="24" t="s">
        <v>117</v>
      </c>
      <c r="B25" s="24" t="s">
        <v>118</v>
      </c>
      <c r="C25" s="24" t="s">
        <v>53</v>
      </c>
      <c r="D25" s="24" t="s">
        <v>65</v>
      </c>
      <c r="E25" s="24" t="s">
        <v>69</v>
      </c>
      <c r="F25" s="9"/>
      <c r="G25" s="9"/>
    </row>
    <row r="26" spans="1:7">
      <c r="A26" s="24" t="s">
        <v>119</v>
      </c>
      <c r="B26" s="24" t="s">
        <v>120</v>
      </c>
      <c r="C26" s="24" t="s">
        <v>99</v>
      </c>
      <c r="D26" s="24" t="s">
        <v>65</v>
      </c>
      <c r="E26" s="24" t="s">
        <v>69</v>
      </c>
      <c r="F26" s="9"/>
      <c r="G26" s="9"/>
    </row>
    <row r="27" spans="1:7">
      <c r="A27" s="9"/>
      <c r="B27" s="9"/>
      <c r="C27" s="9"/>
      <c r="D27" s="9"/>
      <c r="E27" s="9"/>
      <c r="F27" s="9"/>
      <c r="G27" s="9"/>
    </row>
    <row r="28" spans="1:7">
      <c r="A28" s="9"/>
      <c r="B28" s="9"/>
      <c r="C28" s="9"/>
      <c r="D28" s="9"/>
      <c r="E28" s="9"/>
      <c r="F28" s="9"/>
      <c r="G28" s="9"/>
    </row>
    <row r="29" spans="1:7">
      <c r="A29" s="9"/>
      <c r="B29" s="9"/>
      <c r="C29" s="9"/>
      <c r="D29" s="9"/>
      <c r="E29" s="9"/>
      <c r="F29" s="9"/>
      <c r="G29" s="9"/>
    </row>
    <row r="30" spans="1:7">
      <c r="A30" s="9"/>
      <c r="B30" s="9"/>
      <c r="C30" s="9"/>
      <c r="D30" s="9"/>
      <c r="E30" s="9"/>
      <c r="F30" s="9"/>
      <c r="G30" s="9"/>
    </row>
    <row r="31" spans="1:7">
      <c r="A31" s="9"/>
      <c r="B31" s="9"/>
      <c r="C31" s="9"/>
      <c r="D31" s="9"/>
      <c r="E31" s="9"/>
      <c r="F31" s="9"/>
      <c r="G31" s="9"/>
    </row>
    <row r="32" spans="1:7">
      <c r="A32" s="6" t="s">
        <v>84</v>
      </c>
      <c r="B32" s="6"/>
      <c r="C32" s="6"/>
      <c r="D32" s="6"/>
      <c r="E32" s="6">
        <f>COUNTIF(E17:E31,"Y")</f>
        <v>0</v>
      </c>
      <c r="F32" s="6">
        <f>SUM(F17:F31)</f>
        <v>0</v>
      </c>
      <c r="G32" s="6"/>
    </row>
    <row r="34" spans="1:7">
      <c r="A34" s="50" t="s">
        <v>85</v>
      </c>
      <c r="B34" s="50"/>
      <c r="C34" s="50"/>
      <c r="D34" s="50"/>
      <c r="E34" s="50"/>
      <c r="F34" s="50"/>
      <c r="G34" s="50"/>
    </row>
    <row r="35" spans="1:7">
      <c r="A35" s="8" t="s">
        <v>86</v>
      </c>
      <c r="B35" s="8" t="s">
        <v>59</v>
      </c>
      <c r="C35" s="8" t="s">
        <v>51</v>
      </c>
      <c r="D35" s="8" t="s">
        <v>87</v>
      </c>
      <c r="E35" s="8" t="s">
        <v>88</v>
      </c>
      <c r="F35" s="8" t="s">
        <v>89</v>
      </c>
      <c r="G35" s="8" t="s">
        <v>10</v>
      </c>
    </row>
    <row r="36" spans="1:7">
      <c r="A36" s="24" t="s">
        <v>121</v>
      </c>
      <c r="B36" s="24" t="s">
        <v>122</v>
      </c>
      <c r="C36" s="24" t="s">
        <v>123</v>
      </c>
      <c r="D36" s="24" t="s">
        <v>65</v>
      </c>
      <c r="E36" s="29">
        <v>44155</v>
      </c>
      <c r="F36" s="24">
        <v>1</v>
      </c>
      <c r="G36" s="9"/>
    </row>
    <row r="37" spans="1:7">
      <c r="A37" s="9"/>
      <c r="B37" s="9"/>
      <c r="C37" s="9"/>
      <c r="D37" s="9"/>
      <c r="E37" s="9"/>
      <c r="F37" s="9"/>
      <c r="G37" s="9"/>
    </row>
    <row r="38" spans="1:7">
      <c r="A38" s="9"/>
      <c r="B38" s="9"/>
      <c r="C38" s="9"/>
      <c r="D38" s="9"/>
      <c r="E38" s="9"/>
      <c r="F38" s="9"/>
      <c r="G38" s="9"/>
    </row>
    <row r="39" spans="1:7">
      <c r="A39" s="9"/>
      <c r="B39" s="9"/>
      <c r="C39" s="9"/>
      <c r="D39" s="9"/>
      <c r="E39" s="9"/>
      <c r="F39" s="9"/>
      <c r="G39" s="9"/>
    </row>
    <row r="40" spans="1:7">
      <c r="A40" s="9"/>
      <c r="B40" s="9"/>
      <c r="C40" s="9"/>
      <c r="D40" s="9"/>
      <c r="E40" s="9"/>
      <c r="F40" s="9"/>
      <c r="G40" s="9"/>
    </row>
    <row r="41" spans="1:7">
      <c r="A41" s="9"/>
      <c r="B41" s="9"/>
      <c r="C41" s="9"/>
      <c r="D41" s="9"/>
      <c r="E41" s="9"/>
      <c r="F41" s="9"/>
      <c r="G41" s="9"/>
    </row>
    <row r="42" spans="1:7">
      <c r="A42" s="9"/>
      <c r="B42" s="9"/>
      <c r="C42" s="9"/>
      <c r="D42" s="9"/>
      <c r="E42" s="9"/>
      <c r="F42" s="9"/>
      <c r="G42" s="9"/>
    </row>
    <row r="43" spans="1:7">
      <c r="A43" s="9"/>
      <c r="B43" s="9"/>
      <c r="C43" s="9"/>
      <c r="D43" s="9"/>
      <c r="E43" s="9"/>
      <c r="F43" s="9"/>
      <c r="G43" s="9"/>
    </row>
    <row r="44" spans="1:7">
      <c r="A44" s="9"/>
      <c r="B44" s="9"/>
      <c r="C44" s="9"/>
      <c r="D44" s="9"/>
      <c r="E44" s="9"/>
      <c r="F44" s="9"/>
      <c r="G44" s="9"/>
    </row>
    <row r="45" spans="1:7">
      <c r="A45" s="9"/>
      <c r="B45" s="9"/>
      <c r="C45" s="9"/>
      <c r="D45" s="9"/>
      <c r="E45" s="9"/>
      <c r="F45" s="9"/>
      <c r="G45" s="9"/>
    </row>
    <row r="47" spans="1:7">
      <c r="A47" s="46" t="s">
        <v>92</v>
      </c>
      <c r="B47" s="46"/>
      <c r="C47" s="6">
        <f>COUNTA(A36:A45)</f>
        <v>1</v>
      </c>
      <c r="D47" s="7"/>
      <c r="E47" s="7"/>
      <c r="F47" s="7"/>
      <c r="G47" s="7"/>
    </row>
    <row r="48" spans="1:7">
      <c r="A48" s="46" t="s">
        <v>93</v>
      </c>
      <c r="B48" s="46"/>
      <c r="C48" s="6">
        <f>COUNTIF(F36:F45,1)</f>
        <v>1</v>
      </c>
      <c r="D48" s="7"/>
      <c r="E48" s="7"/>
      <c r="F48" s="7"/>
      <c r="G48" s="7"/>
    </row>
    <row r="49" spans="1:7">
      <c r="A49" s="46" t="s">
        <v>94</v>
      </c>
      <c r="B49" s="46"/>
      <c r="C49" s="6">
        <f>C47-C48</f>
        <v>0</v>
      </c>
      <c r="D49" s="7"/>
      <c r="E49" s="7"/>
      <c r="F49" s="7"/>
      <c r="G49" s="7"/>
    </row>
    <row r="51" spans="1:7">
      <c r="A51" s="50" t="s">
        <v>95</v>
      </c>
      <c r="B51" s="50"/>
      <c r="C51" s="50"/>
      <c r="D51" s="50"/>
      <c r="E51" s="50"/>
      <c r="F51" s="50"/>
      <c r="G51" s="50"/>
    </row>
    <row r="52" spans="1:7">
      <c r="A52" s="10" t="s">
        <v>96</v>
      </c>
    </row>
    <row r="53" spans="1:7">
      <c r="A53" s="8" t="s">
        <v>59</v>
      </c>
      <c r="B53" s="8" t="s">
        <v>51</v>
      </c>
      <c r="C53" s="8" t="s">
        <v>10</v>
      </c>
      <c r="D53" s="8"/>
      <c r="E53" s="8"/>
      <c r="F53" s="8"/>
      <c r="G53" s="8"/>
    </row>
    <row r="54" spans="1:7">
      <c r="A54" s="24" t="s">
        <v>103</v>
      </c>
      <c r="B54" s="24" t="s">
        <v>53</v>
      </c>
      <c r="C54" s="9"/>
    </row>
    <row r="55" spans="1:7">
      <c r="A55" s="24" t="s">
        <v>105</v>
      </c>
      <c r="B55" s="24" t="s">
        <v>99</v>
      </c>
      <c r="C55" s="9"/>
    </row>
    <row r="56" spans="1:7">
      <c r="A56" s="24" t="s">
        <v>107</v>
      </c>
      <c r="B56" s="24" t="s">
        <v>53</v>
      </c>
      <c r="C56" s="9"/>
    </row>
    <row r="57" spans="1:7">
      <c r="A57" s="24" t="s">
        <v>109</v>
      </c>
      <c r="B57" s="24" t="s">
        <v>53</v>
      </c>
      <c r="C57" s="9"/>
    </row>
    <row r="58" spans="1:7">
      <c r="A58" s="24" t="s">
        <v>111</v>
      </c>
      <c r="B58" s="24" t="s">
        <v>101</v>
      </c>
      <c r="C58" s="9"/>
    </row>
    <row r="59" spans="1:7">
      <c r="A59" s="24" t="s">
        <v>113</v>
      </c>
      <c r="B59" s="24" t="s">
        <v>100</v>
      </c>
      <c r="C59" s="9"/>
    </row>
    <row r="60" spans="1:7">
      <c r="A60" s="24" t="s">
        <v>75</v>
      </c>
      <c r="B60" s="24" t="s">
        <v>53</v>
      </c>
      <c r="C60" s="9"/>
    </row>
    <row r="61" spans="1:7">
      <c r="A61" s="24" t="s">
        <v>116</v>
      </c>
      <c r="B61" s="24" t="s">
        <v>101</v>
      </c>
      <c r="C61" s="9"/>
    </row>
    <row r="62" spans="1:7">
      <c r="A62" s="24" t="s">
        <v>118</v>
      </c>
      <c r="B62" s="24" t="s">
        <v>53</v>
      </c>
      <c r="C62" s="9"/>
    </row>
    <row r="63" spans="1:7">
      <c r="A63" s="24" t="s">
        <v>120</v>
      </c>
      <c r="B63" s="24" t="s">
        <v>99</v>
      </c>
      <c r="C63" s="9"/>
    </row>
    <row r="65" spans="1:7">
      <c r="A65" s="6" t="s">
        <v>97</v>
      </c>
      <c r="B65" s="6">
        <v>10</v>
      </c>
      <c r="C65" s="6"/>
      <c r="D65" s="6"/>
      <c r="E65" s="6"/>
      <c r="F65" s="6"/>
      <c r="G65" s="6"/>
    </row>
  </sheetData>
  <mergeCells count="9">
    <mergeCell ref="A47:B47"/>
    <mergeCell ref="A48:B48"/>
    <mergeCell ref="A49:B49"/>
    <mergeCell ref="A51:G51"/>
    <mergeCell ref="A1:G1"/>
    <mergeCell ref="A2:G2"/>
    <mergeCell ref="A4:G4"/>
    <mergeCell ref="A15:G15"/>
    <mergeCell ref="A34:G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800"/>
  </sheetPr>
  <dimension ref="A1:G112"/>
  <sheetViews>
    <sheetView topLeftCell="A30" zoomScaleNormal="100" workbookViewId="0">
      <selection sqref="A1:G1"/>
    </sheetView>
  </sheetViews>
  <sheetFormatPr defaultColWidth="8.7109375" defaultRowHeight="14.45"/>
  <cols>
    <col min="1" max="1" width="30" customWidth="1"/>
    <col min="2" max="2" width="22" customWidth="1"/>
    <col min="3" max="3" width="16" customWidth="1"/>
    <col min="4" max="4" width="33.5703125" bestFit="1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124</v>
      </c>
      <c r="B1" s="48"/>
      <c r="C1" s="48"/>
      <c r="D1" s="48"/>
      <c r="E1" s="48"/>
      <c r="F1" s="48"/>
      <c r="G1" s="48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53</v>
      </c>
      <c r="C6" s="3">
        <v>4</v>
      </c>
      <c r="D6" s="3"/>
      <c r="E6" s="3"/>
      <c r="F6" s="3"/>
      <c r="G6" s="3"/>
    </row>
    <row r="7" spans="1:7">
      <c r="A7" s="3" t="s">
        <v>12</v>
      </c>
      <c r="B7" s="3" t="s">
        <v>101</v>
      </c>
      <c r="C7" s="3">
        <v>3</v>
      </c>
      <c r="D7" s="3"/>
      <c r="E7" s="3"/>
      <c r="F7" s="3"/>
      <c r="G7" s="3"/>
    </row>
    <row r="8" spans="1:7">
      <c r="A8" s="3" t="s">
        <v>12</v>
      </c>
      <c r="B8" s="3" t="s">
        <v>54</v>
      </c>
      <c r="C8" s="3">
        <v>1</v>
      </c>
      <c r="D8" s="3"/>
      <c r="E8" s="3"/>
      <c r="F8" s="3"/>
      <c r="G8" s="3"/>
    </row>
    <row r="9" spans="1:7">
      <c r="A9" s="3" t="s">
        <v>12</v>
      </c>
      <c r="B9" s="3" t="s">
        <v>55</v>
      </c>
      <c r="C9" s="3">
        <v>1</v>
      </c>
      <c r="D9" s="3"/>
      <c r="E9" s="3"/>
      <c r="F9" s="3"/>
      <c r="G9" s="3"/>
    </row>
    <row r="10" spans="1:7">
      <c r="A10" s="3" t="s">
        <v>12</v>
      </c>
      <c r="B10" s="3" t="s">
        <v>99</v>
      </c>
      <c r="C10" s="3">
        <v>1</v>
      </c>
      <c r="D10" s="3"/>
      <c r="E10" s="3"/>
      <c r="F10" s="3"/>
      <c r="G10" s="3"/>
    </row>
    <row r="11" spans="1:7">
      <c r="A11" s="3" t="s">
        <v>125</v>
      </c>
      <c r="B11" s="3" t="s">
        <v>53</v>
      </c>
      <c r="C11" s="3">
        <v>13</v>
      </c>
      <c r="D11" s="3"/>
      <c r="E11" s="3"/>
      <c r="F11" s="3"/>
      <c r="G11" s="3"/>
    </row>
    <row r="12" spans="1:7">
      <c r="A12" s="3" t="s">
        <v>125</v>
      </c>
      <c r="B12" s="3" t="s">
        <v>99</v>
      </c>
      <c r="C12" s="3">
        <v>2</v>
      </c>
      <c r="D12" s="3"/>
      <c r="E12" s="3"/>
      <c r="F12" s="3"/>
      <c r="G12" s="3"/>
    </row>
    <row r="13" spans="1:7">
      <c r="A13" s="3" t="s">
        <v>126</v>
      </c>
      <c r="B13" s="3" t="s">
        <v>101</v>
      </c>
      <c r="C13" s="3">
        <v>3</v>
      </c>
      <c r="D13" s="3"/>
      <c r="E13" s="3"/>
      <c r="F13" s="3"/>
      <c r="G13" s="3"/>
    </row>
    <row r="14" spans="1:7">
      <c r="A14" s="4"/>
      <c r="B14" s="4"/>
      <c r="C14" s="4"/>
      <c r="D14" s="4"/>
    </row>
    <row r="15" spans="1:7">
      <c r="A15" s="4"/>
      <c r="B15" s="4"/>
      <c r="C15" s="4"/>
      <c r="D15" s="4"/>
    </row>
    <row r="16" spans="1:7">
      <c r="A16" s="4"/>
      <c r="B16" s="4"/>
      <c r="C16" s="4"/>
      <c r="D16" s="4"/>
    </row>
    <row r="17" spans="1:7">
      <c r="A17" s="6" t="s">
        <v>56</v>
      </c>
      <c r="B17" s="6"/>
      <c r="C17" s="6">
        <f>SUM(C6:C16)</f>
        <v>28</v>
      </c>
      <c r="D17" s="6"/>
      <c r="E17" s="6"/>
      <c r="F17" s="6"/>
      <c r="G17" s="6"/>
    </row>
    <row r="19" spans="1:7">
      <c r="A19" s="50" t="s">
        <v>57</v>
      </c>
      <c r="B19" s="50"/>
      <c r="C19" s="50"/>
      <c r="D19" s="50"/>
      <c r="E19" s="50"/>
      <c r="F19" s="50"/>
      <c r="G19" s="50"/>
    </row>
    <row r="20" spans="1:7">
      <c r="A20" s="8" t="s">
        <v>58</v>
      </c>
      <c r="B20" s="8" t="s">
        <v>59</v>
      </c>
      <c r="C20" s="8" t="s">
        <v>51</v>
      </c>
      <c r="D20" s="8" t="s">
        <v>50</v>
      </c>
      <c r="E20" s="8" t="s">
        <v>60</v>
      </c>
      <c r="F20" s="8" t="s">
        <v>61</v>
      </c>
      <c r="G20" s="8" t="s">
        <v>10</v>
      </c>
    </row>
    <row r="21" spans="1:7">
      <c r="A21" s="24" t="s">
        <v>127</v>
      </c>
      <c r="B21" s="24" t="s">
        <v>107</v>
      </c>
      <c r="C21" s="24" t="s">
        <v>53</v>
      </c>
      <c r="D21" s="24" t="s">
        <v>65</v>
      </c>
      <c r="E21" s="24" t="s">
        <v>66</v>
      </c>
      <c r="F21" s="21">
        <v>1</v>
      </c>
      <c r="G21" s="9"/>
    </row>
    <row r="22" spans="1:7">
      <c r="A22" s="24" t="s">
        <v>128</v>
      </c>
      <c r="B22" s="24" t="s">
        <v>129</v>
      </c>
      <c r="C22" s="24" t="s">
        <v>101</v>
      </c>
      <c r="D22" s="24" t="s">
        <v>65</v>
      </c>
      <c r="E22" s="24" t="s">
        <v>69</v>
      </c>
      <c r="F22" s="21"/>
      <c r="G22" s="9"/>
    </row>
    <row r="23" spans="1:7">
      <c r="A23" s="24" t="s">
        <v>130</v>
      </c>
      <c r="B23" s="24" t="s">
        <v>131</v>
      </c>
      <c r="C23" s="24" t="s">
        <v>101</v>
      </c>
      <c r="D23" s="24" t="s">
        <v>65</v>
      </c>
      <c r="E23" s="24" t="s">
        <v>69</v>
      </c>
      <c r="F23" s="21"/>
      <c r="G23" s="9"/>
    </row>
    <row r="24" spans="1:7">
      <c r="A24" s="24" t="s">
        <v>132</v>
      </c>
      <c r="B24" s="24" t="s">
        <v>133</v>
      </c>
      <c r="C24" s="24" t="s">
        <v>53</v>
      </c>
      <c r="D24" s="24" t="s">
        <v>65</v>
      </c>
      <c r="E24" s="24" t="s">
        <v>69</v>
      </c>
      <c r="F24" s="21"/>
      <c r="G24" s="9"/>
    </row>
    <row r="25" spans="1:7">
      <c r="A25" s="24" t="s">
        <v>134</v>
      </c>
      <c r="B25" s="24" t="s">
        <v>135</v>
      </c>
      <c r="C25" s="24" t="s">
        <v>99</v>
      </c>
      <c r="D25" s="24" t="s">
        <v>65</v>
      </c>
      <c r="E25" s="24" t="s">
        <v>69</v>
      </c>
      <c r="F25" s="21"/>
      <c r="G25" s="9"/>
    </row>
    <row r="26" spans="1:7">
      <c r="A26" s="24" t="s">
        <v>136</v>
      </c>
      <c r="B26" s="24" t="s">
        <v>81</v>
      </c>
      <c r="C26" s="24" t="s">
        <v>54</v>
      </c>
      <c r="D26" s="24" t="s">
        <v>65</v>
      </c>
      <c r="E26" s="24" t="s">
        <v>69</v>
      </c>
      <c r="F26" s="21"/>
      <c r="G26" s="9"/>
    </row>
    <row r="27" spans="1:7">
      <c r="A27" s="24" t="s">
        <v>137</v>
      </c>
      <c r="B27" s="24" t="s">
        <v>71</v>
      </c>
      <c r="C27" s="24" t="s">
        <v>53</v>
      </c>
      <c r="D27" s="24" t="s">
        <v>65</v>
      </c>
      <c r="E27" s="24" t="s">
        <v>69</v>
      </c>
      <c r="F27" s="21"/>
      <c r="G27" s="9"/>
    </row>
    <row r="28" spans="1:7">
      <c r="A28" s="24" t="s">
        <v>138</v>
      </c>
      <c r="B28" s="24" t="s">
        <v>116</v>
      </c>
      <c r="C28" s="24" t="s">
        <v>101</v>
      </c>
      <c r="D28" s="24" t="s">
        <v>65</v>
      </c>
      <c r="E28" s="24" t="s">
        <v>69</v>
      </c>
      <c r="F28" s="21"/>
      <c r="G28" s="9"/>
    </row>
    <row r="29" spans="1:7">
      <c r="A29" s="24" t="s">
        <v>139</v>
      </c>
      <c r="B29" s="24" t="s">
        <v>129</v>
      </c>
      <c r="C29" s="24" t="s">
        <v>101</v>
      </c>
      <c r="D29" s="24" t="s">
        <v>65</v>
      </c>
      <c r="E29" s="24" t="s">
        <v>69</v>
      </c>
      <c r="F29" s="21"/>
      <c r="G29" s="9"/>
    </row>
    <row r="30" spans="1:7">
      <c r="A30" s="24" t="s">
        <v>140</v>
      </c>
      <c r="B30" s="24" t="s">
        <v>141</v>
      </c>
      <c r="C30" s="24" t="s">
        <v>53</v>
      </c>
      <c r="D30" s="24" t="s">
        <v>65</v>
      </c>
      <c r="E30" s="24" t="s">
        <v>69</v>
      </c>
      <c r="F30" s="21"/>
      <c r="G30" s="9"/>
    </row>
    <row r="31" spans="1:7">
      <c r="A31" s="25" t="s">
        <v>142</v>
      </c>
      <c r="B31" s="25" t="s">
        <v>143</v>
      </c>
      <c r="C31" s="25" t="s">
        <v>53</v>
      </c>
      <c r="D31" s="25" t="s">
        <v>144</v>
      </c>
      <c r="E31" s="25" t="s">
        <v>66</v>
      </c>
      <c r="F31" s="21">
        <v>1</v>
      </c>
      <c r="G31" s="9"/>
    </row>
    <row r="32" spans="1:7">
      <c r="A32" s="24" t="s">
        <v>145</v>
      </c>
      <c r="B32" s="24" t="s">
        <v>146</v>
      </c>
      <c r="C32" s="24" t="s">
        <v>53</v>
      </c>
      <c r="D32" s="25" t="s">
        <v>144</v>
      </c>
      <c r="E32" s="21" t="s">
        <v>69</v>
      </c>
      <c r="F32" s="21"/>
      <c r="G32" s="9"/>
    </row>
    <row r="33" spans="1:7">
      <c r="A33" s="24" t="s">
        <v>147</v>
      </c>
      <c r="B33" s="24" t="s">
        <v>148</v>
      </c>
      <c r="C33" s="24" t="s">
        <v>53</v>
      </c>
      <c r="D33" s="25" t="s">
        <v>144</v>
      </c>
      <c r="E33" s="21" t="s">
        <v>69</v>
      </c>
      <c r="F33" s="21"/>
      <c r="G33" s="9"/>
    </row>
    <row r="34" spans="1:7">
      <c r="A34" s="24" t="s">
        <v>149</v>
      </c>
      <c r="B34" s="24" t="s">
        <v>150</v>
      </c>
      <c r="C34" s="24" t="s">
        <v>53</v>
      </c>
      <c r="D34" s="25" t="s">
        <v>144</v>
      </c>
      <c r="E34" s="21" t="s">
        <v>69</v>
      </c>
      <c r="F34" s="21"/>
      <c r="G34" s="9"/>
    </row>
    <row r="35" spans="1:7">
      <c r="A35" s="24" t="s">
        <v>151</v>
      </c>
      <c r="B35" s="24" t="s">
        <v>152</v>
      </c>
      <c r="C35" s="24" t="s">
        <v>53</v>
      </c>
      <c r="D35" s="25" t="s">
        <v>144</v>
      </c>
      <c r="E35" s="21" t="s">
        <v>69</v>
      </c>
      <c r="F35" s="21"/>
      <c r="G35" s="9"/>
    </row>
    <row r="36" spans="1:7">
      <c r="A36" s="24" t="s">
        <v>153</v>
      </c>
      <c r="B36" s="24" t="s">
        <v>154</v>
      </c>
      <c r="C36" s="24" t="s">
        <v>53</v>
      </c>
      <c r="D36" s="25" t="s">
        <v>144</v>
      </c>
      <c r="E36" s="21" t="s">
        <v>69</v>
      </c>
      <c r="F36" s="21"/>
      <c r="G36" s="9"/>
    </row>
    <row r="37" spans="1:7">
      <c r="A37" s="24" t="s">
        <v>155</v>
      </c>
      <c r="B37" s="24" t="s">
        <v>154</v>
      </c>
      <c r="C37" s="24" t="s">
        <v>53</v>
      </c>
      <c r="D37" s="25" t="s">
        <v>144</v>
      </c>
      <c r="E37" s="21" t="s">
        <v>69</v>
      </c>
      <c r="F37" s="21"/>
      <c r="G37" s="9"/>
    </row>
    <row r="38" spans="1:7">
      <c r="A38" s="24" t="s">
        <v>156</v>
      </c>
      <c r="B38" s="24" t="s">
        <v>157</v>
      </c>
      <c r="C38" s="24" t="s">
        <v>53</v>
      </c>
      <c r="D38" s="25" t="s">
        <v>144</v>
      </c>
      <c r="E38" s="21" t="s">
        <v>69</v>
      </c>
      <c r="F38" s="21"/>
      <c r="G38" s="9"/>
    </row>
    <row r="39" spans="1:7">
      <c r="A39" s="24" t="s">
        <v>158</v>
      </c>
      <c r="B39" s="24" t="s">
        <v>150</v>
      </c>
      <c r="C39" s="24" t="s">
        <v>53</v>
      </c>
      <c r="D39" s="25" t="s">
        <v>144</v>
      </c>
      <c r="E39" s="21" t="s">
        <v>66</v>
      </c>
      <c r="F39" s="21">
        <v>1</v>
      </c>
      <c r="G39" s="9"/>
    </row>
    <row r="40" spans="1:7">
      <c r="A40" s="24" t="s">
        <v>159</v>
      </c>
      <c r="B40" s="24" t="s">
        <v>160</v>
      </c>
      <c r="C40" s="24" t="s">
        <v>53</v>
      </c>
      <c r="D40" s="25" t="s">
        <v>144</v>
      </c>
      <c r="E40" s="21" t="s">
        <v>69</v>
      </c>
      <c r="F40" s="21"/>
      <c r="G40" s="9"/>
    </row>
    <row r="41" spans="1:7">
      <c r="A41" s="24" t="s">
        <v>161</v>
      </c>
      <c r="B41" s="24" t="s">
        <v>152</v>
      </c>
      <c r="C41" s="24" t="s">
        <v>53</v>
      </c>
      <c r="D41" s="25" t="s">
        <v>144</v>
      </c>
      <c r="E41" s="21" t="s">
        <v>69</v>
      </c>
      <c r="F41" s="21"/>
      <c r="G41" s="9"/>
    </row>
    <row r="42" spans="1:7">
      <c r="A42" s="24" t="s">
        <v>162</v>
      </c>
      <c r="B42" s="24" t="s">
        <v>163</v>
      </c>
      <c r="C42" s="24" t="s">
        <v>99</v>
      </c>
      <c r="D42" s="25" t="s">
        <v>144</v>
      </c>
      <c r="E42" s="21" t="s">
        <v>69</v>
      </c>
      <c r="F42" s="21"/>
      <c r="G42" s="9"/>
    </row>
    <row r="43" spans="1:7">
      <c r="A43" s="24" t="s">
        <v>164</v>
      </c>
      <c r="B43" s="24" t="s">
        <v>165</v>
      </c>
      <c r="C43" s="24" t="s">
        <v>99</v>
      </c>
      <c r="D43" s="25" t="s">
        <v>144</v>
      </c>
      <c r="E43" s="21" t="s">
        <v>69</v>
      </c>
      <c r="F43" s="21"/>
      <c r="G43" s="9"/>
    </row>
    <row r="44" spans="1:7">
      <c r="A44" s="24" t="s">
        <v>166</v>
      </c>
      <c r="B44" s="24" t="s">
        <v>167</v>
      </c>
      <c r="C44" s="24" t="s">
        <v>53</v>
      </c>
      <c r="D44" s="25" t="s">
        <v>144</v>
      </c>
      <c r="E44" s="21" t="s">
        <v>69</v>
      </c>
      <c r="F44" s="21"/>
      <c r="G44" s="9"/>
    </row>
    <row r="45" spans="1:7">
      <c r="A45" s="24" t="s">
        <v>168</v>
      </c>
      <c r="B45" s="24" t="s">
        <v>169</v>
      </c>
      <c r="C45" s="24" t="s">
        <v>53</v>
      </c>
      <c r="D45" s="25" t="s">
        <v>144</v>
      </c>
      <c r="E45" s="21" t="s">
        <v>69</v>
      </c>
      <c r="F45" s="21"/>
      <c r="G45" s="9"/>
    </row>
    <row r="46" spans="1:7">
      <c r="A46" s="24" t="s">
        <v>170</v>
      </c>
      <c r="B46" s="24" t="s">
        <v>129</v>
      </c>
      <c r="C46" s="24" t="s">
        <v>101</v>
      </c>
      <c r="D46" s="25" t="s">
        <v>171</v>
      </c>
      <c r="E46" s="24" t="s">
        <v>69</v>
      </c>
      <c r="F46" s="21"/>
      <c r="G46" s="24"/>
    </row>
    <row r="47" spans="1:7">
      <c r="A47" s="24" t="s">
        <v>172</v>
      </c>
      <c r="B47" s="24" t="s">
        <v>129</v>
      </c>
      <c r="C47" s="24" t="s">
        <v>101</v>
      </c>
      <c r="D47" s="25" t="s">
        <v>173</v>
      </c>
      <c r="E47" s="24" t="s">
        <v>66</v>
      </c>
      <c r="F47" s="21">
        <v>1</v>
      </c>
      <c r="G47" s="24"/>
    </row>
    <row r="48" spans="1:7">
      <c r="A48" s="24" t="s">
        <v>174</v>
      </c>
      <c r="B48" s="24" t="s">
        <v>175</v>
      </c>
      <c r="C48" s="24" t="s">
        <v>101</v>
      </c>
      <c r="D48" s="25" t="s">
        <v>173</v>
      </c>
      <c r="E48" s="24" t="s">
        <v>69</v>
      </c>
      <c r="F48" s="21"/>
      <c r="G48" s="24"/>
    </row>
    <row r="49" spans="1:7">
      <c r="A49" s="6" t="s">
        <v>84</v>
      </c>
      <c r="B49" s="6"/>
      <c r="C49" s="6"/>
      <c r="D49" s="6"/>
      <c r="E49" s="6">
        <f>COUNTIF(E21:E47,"Y")</f>
        <v>4</v>
      </c>
      <c r="F49" s="6">
        <f>SUM(F21:F47)</f>
        <v>4</v>
      </c>
      <c r="G49" s="6"/>
    </row>
    <row r="51" spans="1:7">
      <c r="A51" s="50" t="s">
        <v>85</v>
      </c>
      <c r="B51" s="50"/>
      <c r="C51" s="50"/>
      <c r="D51" s="50"/>
      <c r="E51" s="50"/>
      <c r="F51" s="50"/>
      <c r="G51" s="50"/>
    </row>
    <row r="52" spans="1:7">
      <c r="A52" s="8" t="s">
        <v>86</v>
      </c>
      <c r="B52" s="8" t="s">
        <v>59</v>
      </c>
      <c r="C52" s="8" t="s">
        <v>51</v>
      </c>
      <c r="D52" s="8" t="s">
        <v>87</v>
      </c>
      <c r="E52" s="8" t="s">
        <v>88</v>
      </c>
      <c r="F52" s="8" t="s">
        <v>89</v>
      </c>
      <c r="G52" s="8" t="s">
        <v>10</v>
      </c>
    </row>
    <row r="53" spans="1:7">
      <c r="A53" s="24" t="s">
        <v>127</v>
      </c>
      <c r="B53" s="24" t="s">
        <v>107</v>
      </c>
      <c r="C53" s="24" t="s">
        <v>53</v>
      </c>
      <c r="D53" s="24" t="s">
        <v>65</v>
      </c>
      <c r="E53" s="29">
        <v>44519</v>
      </c>
      <c r="F53" s="24">
        <v>1</v>
      </c>
      <c r="G53" s="9"/>
    </row>
    <row r="54" spans="1:7">
      <c r="A54" s="24" t="s">
        <v>158</v>
      </c>
      <c r="B54" s="24" t="s">
        <v>150</v>
      </c>
      <c r="C54" s="24" t="s">
        <v>53</v>
      </c>
      <c r="D54" s="25" t="s">
        <v>176</v>
      </c>
      <c r="E54" s="29">
        <v>44568</v>
      </c>
      <c r="F54" s="24">
        <v>1</v>
      </c>
      <c r="G54" s="9"/>
    </row>
    <row r="55" spans="1:7">
      <c r="A55" s="25" t="s">
        <v>142</v>
      </c>
      <c r="B55" s="25" t="s">
        <v>143</v>
      </c>
      <c r="C55" s="25" t="s">
        <v>53</v>
      </c>
      <c r="D55" s="25" t="s">
        <v>177</v>
      </c>
      <c r="E55" s="33">
        <v>44589</v>
      </c>
      <c r="F55" s="24">
        <v>1</v>
      </c>
      <c r="G55" s="9"/>
    </row>
    <row r="56" spans="1:7">
      <c r="A56" s="24" t="s">
        <v>172</v>
      </c>
      <c r="B56" s="24" t="s">
        <v>129</v>
      </c>
      <c r="C56" s="24" t="s">
        <v>101</v>
      </c>
      <c r="D56" s="25" t="s">
        <v>178</v>
      </c>
      <c r="E56" s="29">
        <v>44610</v>
      </c>
      <c r="F56" s="24">
        <v>1</v>
      </c>
      <c r="G56" s="9"/>
    </row>
    <row r="57" spans="1:7">
      <c r="A57" s="9"/>
      <c r="B57" s="9"/>
      <c r="C57" s="9"/>
      <c r="D57" s="9"/>
      <c r="E57" s="9"/>
      <c r="F57" s="9"/>
      <c r="G57" s="9"/>
    </row>
    <row r="58" spans="1:7">
      <c r="A58" s="9"/>
      <c r="B58" s="9"/>
      <c r="C58" s="9"/>
      <c r="D58" s="9"/>
      <c r="E58" s="9"/>
      <c r="F58" s="9"/>
      <c r="G58" s="9"/>
    </row>
    <row r="59" spans="1:7">
      <c r="A59" s="9"/>
      <c r="B59" s="9"/>
      <c r="C59" s="9"/>
      <c r="D59" s="9"/>
      <c r="E59" s="9"/>
      <c r="F59" s="9"/>
      <c r="G59" s="9"/>
    </row>
    <row r="60" spans="1:7">
      <c r="A60" s="9"/>
      <c r="B60" s="9"/>
      <c r="C60" s="9"/>
      <c r="D60" s="9"/>
      <c r="E60" s="9"/>
      <c r="F60" s="9"/>
      <c r="G60" s="9"/>
    </row>
    <row r="61" spans="1:7">
      <c r="A61" s="9"/>
      <c r="B61" s="9"/>
      <c r="C61" s="9"/>
      <c r="D61" s="9"/>
      <c r="E61" s="9"/>
      <c r="F61" s="9"/>
      <c r="G61" s="9"/>
    </row>
    <row r="62" spans="1:7">
      <c r="A62" s="9"/>
      <c r="B62" s="9"/>
      <c r="C62" s="9"/>
      <c r="D62" s="9"/>
      <c r="E62" s="9"/>
      <c r="F62" s="9"/>
      <c r="G62" s="9"/>
    </row>
    <row r="63" spans="1:7">
      <c r="A63" s="9"/>
      <c r="B63" s="9"/>
      <c r="C63" s="9"/>
      <c r="D63" s="9"/>
      <c r="E63" s="9"/>
      <c r="F63" s="9"/>
      <c r="G63" s="9"/>
    </row>
    <row r="64" spans="1:7">
      <c r="A64" s="9"/>
      <c r="B64" s="9"/>
      <c r="C64" s="9"/>
      <c r="D64" s="9"/>
      <c r="E64" s="9"/>
      <c r="F64" s="9"/>
      <c r="G64" s="9"/>
    </row>
    <row r="65" spans="1:7">
      <c r="A65" s="9"/>
      <c r="B65" s="9"/>
      <c r="C65" s="9"/>
      <c r="D65" s="9"/>
      <c r="E65" s="9"/>
      <c r="F65" s="9"/>
      <c r="G65" s="9"/>
    </row>
    <row r="66" spans="1:7">
      <c r="A66" s="9"/>
      <c r="B66" s="9"/>
      <c r="C66" s="9"/>
      <c r="D66" s="9"/>
      <c r="E66" s="9"/>
      <c r="F66" s="9"/>
      <c r="G66" s="9"/>
    </row>
    <row r="67" spans="1:7">
      <c r="A67" s="9"/>
      <c r="B67" s="9"/>
      <c r="C67" s="9"/>
      <c r="D67" s="9"/>
      <c r="E67" s="9"/>
      <c r="F67" s="9"/>
      <c r="G67" s="9"/>
    </row>
    <row r="68" spans="1:7">
      <c r="A68" s="9"/>
      <c r="B68" s="9"/>
      <c r="C68" s="9"/>
      <c r="D68" s="9"/>
      <c r="E68" s="9"/>
      <c r="F68" s="9"/>
      <c r="G68" s="9"/>
    </row>
    <row r="69" spans="1:7">
      <c r="A69" s="9"/>
      <c r="B69" s="9"/>
      <c r="C69" s="9"/>
      <c r="D69" s="9"/>
      <c r="E69" s="9"/>
      <c r="F69" s="9"/>
      <c r="G69" s="9"/>
    </row>
    <row r="71" spans="1:7">
      <c r="A71" s="46" t="s">
        <v>92</v>
      </c>
      <c r="B71" s="46"/>
      <c r="C71" s="6">
        <f>COUNTA(A53:A69)</f>
        <v>4</v>
      </c>
      <c r="D71" s="7"/>
      <c r="E71" s="7"/>
      <c r="F71" s="7"/>
      <c r="G71" s="7"/>
    </row>
    <row r="72" spans="1:7">
      <c r="A72" s="46" t="s">
        <v>93</v>
      </c>
      <c r="B72" s="46"/>
      <c r="C72" s="6">
        <f>COUNTIF(F53:F69,1)</f>
        <v>4</v>
      </c>
      <c r="D72" s="7"/>
      <c r="E72" s="7"/>
      <c r="F72" s="7"/>
      <c r="G72" s="7"/>
    </row>
    <row r="73" spans="1:7">
      <c r="A73" s="46" t="s">
        <v>94</v>
      </c>
      <c r="B73" s="46"/>
      <c r="C73" s="6">
        <f>C71-C72</f>
        <v>0</v>
      </c>
      <c r="D73" s="7"/>
      <c r="E73" s="7"/>
      <c r="F73" s="7"/>
      <c r="G73" s="7"/>
    </row>
    <row r="75" spans="1:7">
      <c r="A75" s="50" t="s">
        <v>95</v>
      </c>
      <c r="B75" s="50"/>
      <c r="C75" s="50"/>
      <c r="D75" s="50"/>
      <c r="E75" s="50"/>
      <c r="F75" s="50"/>
      <c r="G75" s="50"/>
    </row>
    <row r="76" spans="1:7">
      <c r="A76" s="10" t="s">
        <v>96</v>
      </c>
    </row>
    <row r="77" spans="1:7">
      <c r="A77" s="8" t="s">
        <v>59</v>
      </c>
      <c r="B77" s="8" t="s">
        <v>51</v>
      </c>
      <c r="C77" s="8" t="s">
        <v>10</v>
      </c>
      <c r="D77" s="8"/>
      <c r="E77" s="8"/>
      <c r="F77" s="8"/>
      <c r="G77" s="8"/>
    </row>
    <row r="78" spans="1:7">
      <c r="A78" s="24" t="s">
        <v>107</v>
      </c>
      <c r="B78" s="24" t="s">
        <v>53</v>
      </c>
      <c r="C78" s="9"/>
    </row>
    <row r="79" spans="1:7">
      <c r="A79" s="24" t="s">
        <v>129</v>
      </c>
      <c r="B79" s="24" t="s">
        <v>101</v>
      </c>
      <c r="C79" s="9"/>
    </row>
    <row r="80" spans="1:7">
      <c r="A80" s="24" t="s">
        <v>131</v>
      </c>
      <c r="B80" s="24" t="s">
        <v>101</v>
      </c>
      <c r="C80" s="9"/>
    </row>
    <row r="81" spans="1:7">
      <c r="A81" s="24" t="s">
        <v>133</v>
      </c>
      <c r="B81" s="24" t="s">
        <v>53</v>
      </c>
      <c r="C81" s="9"/>
    </row>
    <row r="82" spans="1:7">
      <c r="A82" s="24" t="s">
        <v>135</v>
      </c>
      <c r="B82" s="24" t="s">
        <v>99</v>
      </c>
      <c r="C82" s="9"/>
    </row>
    <row r="83" spans="1:7">
      <c r="A83" s="24" t="s">
        <v>81</v>
      </c>
      <c r="B83" s="24" t="s">
        <v>54</v>
      </c>
      <c r="C83" s="9"/>
    </row>
    <row r="84" spans="1:7">
      <c r="A84" s="24" t="s">
        <v>71</v>
      </c>
      <c r="B84" s="24" t="s">
        <v>53</v>
      </c>
      <c r="C84" s="9"/>
    </row>
    <row r="85" spans="1:7">
      <c r="A85" s="24" t="s">
        <v>116</v>
      </c>
      <c r="B85" s="24" t="s">
        <v>101</v>
      </c>
      <c r="C85" s="9"/>
    </row>
    <row r="86" spans="1:7">
      <c r="A86" s="24" t="s">
        <v>141</v>
      </c>
      <c r="B86" s="24" t="s">
        <v>53</v>
      </c>
      <c r="C86" s="9"/>
    </row>
    <row r="87" spans="1:7">
      <c r="A87" s="10" t="s">
        <v>179</v>
      </c>
    </row>
    <row r="88" spans="1:7">
      <c r="A88" s="8" t="s">
        <v>59</v>
      </c>
      <c r="B88" s="8" t="s">
        <v>51</v>
      </c>
      <c r="C88" s="8" t="s">
        <v>10</v>
      </c>
      <c r="D88" s="8"/>
      <c r="E88" s="8"/>
      <c r="F88" s="8"/>
      <c r="G88" s="8"/>
    </row>
    <row r="89" spans="1:7">
      <c r="A89" s="24" t="s">
        <v>146</v>
      </c>
      <c r="B89" s="24" t="s">
        <v>53</v>
      </c>
      <c r="C89" s="9"/>
    </row>
    <row r="90" spans="1:7">
      <c r="A90" s="24" t="s">
        <v>148</v>
      </c>
      <c r="B90" s="24" t="s">
        <v>53</v>
      </c>
      <c r="C90" s="9"/>
    </row>
    <row r="91" spans="1:7">
      <c r="A91" s="24" t="s">
        <v>150</v>
      </c>
      <c r="B91" s="24" t="s">
        <v>53</v>
      </c>
      <c r="C91" s="9"/>
    </row>
    <row r="92" spans="1:7">
      <c r="A92" s="24" t="s">
        <v>152</v>
      </c>
      <c r="B92" s="24" t="s">
        <v>53</v>
      </c>
      <c r="C92" s="9"/>
    </row>
    <row r="93" spans="1:7">
      <c r="A93" s="24" t="s">
        <v>154</v>
      </c>
      <c r="B93" s="24" t="s">
        <v>53</v>
      </c>
      <c r="C93" s="9"/>
    </row>
    <row r="94" spans="1:7">
      <c r="A94" s="24" t="s">
        <v>157</v>
      </c>
      <c r="B94" s="24" t="s">
        <v>53</v>
      </c>
      <c r="C94" s="9"/>
    </row>
    <row r="95" spans="1:7">
      <c r="A95" s="24" t="s">
        <v>160</v>
      </c>
      <c r="B95" s="24" t="s">
        <v>53</v>
      </c>
      <c r="C95" s="9"/>
    </row>
    <row r="96" spans="1:7">
      <c r="A96" s="24" t="s">
        <v>163</v>
      </c>
      <c r="B96" s="24" t="s">
        <v>99</v>
      </c>
      <c r="C96" s="9"/>
    </row>
    <row r="97" spans="1:7">
      <c r="A97" s="24" t="s">
        <v>165</v>
      </c>
      <c r="B97" s="24" t="s">
        <v>99</v>
      </c>
      <c r="C97" s="9"/>
    </row>
    <row r="98" spans="1:7">
      <c r="A98" s="24" t="s">
        <v>167</v>
      </c>
      <c r="B98" s="24" t="s">
        <v>53</v>
      </c>
      <c r="C98" s="9"/>
    </row>
    <row r="99" spans="1:7">
      <c r="A99" s="24" t="s">
        <v>169</v>
      </c>
      <c r="B99" s="24" t="s">
        <v>53</v>
      </c>
      <c r="C99" s="9"/>
    </row>
    <row r="100" spans="1:7">
      <c r="A100" s="9"/>
      <c r="B100" s="9"/>
      <c r="C100" s="9"/>
    </row>
    <row r="101" spans="1:7">
      <c r="A101" s="9"/>
      <c r="B101" s="9"/>
      <c r="C101" s="9"/>
    </row>
    <row r="102" spans="1:7">
      <c r="A102" s="9"/>
      <c r="B102" s="9"/>
      <c r="C102" s="9"/>
    </row>
    <row r="104" spans="1:7">
      <c r="A104" s="6" t="s">
        <v>97</v>
      </c>
      <c r="B104" s="6">
        <v>20</v>
      </c>
      <c r="C104" s="6"/>
      <c r="D104" s="6"/>
      <c r="E104" s="6"/>
      <c r="F104" s="6"/>
      <c r="G104" s="6"/>
    </row>
    <row r="106" spans="1:7">
      <c r="A106" s="50" t="s">
        <v>180</v>
      </c>
      <c r="B106" s="50"/>
      <c r="C106" s="50"/>
      <c r="D106" s="50"/>
      <c r="E106" s="50"/>
      <c r="F106" s="50"/>
      <c r="G106" s="50"/>
    </row>
    <row r="107" spans="1:7">
      <c r="A107" s="8" t="s">
        <v>181</v>
      </c>
      <c r="B107" s="8" t="s">
        <v>86</v>
      </c>
      <c r="C107" s="8" t="s">
        <v>59</v>
      </c>
      <c r="D107" s="8" t="s">
        <v>51</v>
      </c>
      <c r="E107" s="8" t="s">
        <v>88</v>
      </c>
      <c r="F107" s="8" t="s">
        <v>182</v>
      </c>
      <c r="G107" s="8" t="s">
        <v>10</v>
      </c>
    </row>
    <row r="108" spans="1:7">
      <c r="A108" s="25" t="s">
        <v>177</v>
      </c>
      <c r="B108" s="25" t="s">
        <v>142</v>
      </c>
      <c r="C108" s="25" t="s">
        <v>143</v>
      </c>
      <c r="D108" s="25" t="s">
        <v>53</v>
      </c>
      <c r="E108" s="33">
        <v>44589</v>
      </c>
      <c r="F108" s="33" t="s">
        <v>91</v>
      </c>
      <c r="G108" s="9"/>
    </row>
    <row r="109" spans="1:7">
      <c r="A109" s="9"/>
      <c r="B109" s="9"/>
      <c r="C109" s="9"/>
      <c r="D109" s="9"/>
      <c r="E109" s="9"/>
      <c r="F109" s="9"/>
      <c r="G109" s="9"/>
    </row>
    <row r="110" spans="1:7">
      <c r="A110" s="9"/>
      <c r="B110" s="9"/>
      <c r="C110" s="9"/>
      <c r="D110" s="9"/>
      <c r="E110" s="9"/>
      <c r="F110" s="9"/>
      <c r="G110" s="9"/>
    </row>
    <row r="111" spans="1:7">
      <c r="A111" s="9"/>
      <c r="B111" s="9"/>
      <c r="C111" s="9"/>
      <c r="D111" s="9"/>
      <c r="E111" s="9"/>
      <c r="F111" s="9"/>
      <c r="G111" s="9"/>
    </row>
    <row r="112" spans="1:7">
      <c r="A112" s="9"/>
      <c r="B112" s="9"/>
      <c r="C112" s="9"/>
      <c r="D112" s="9"/>
      <c r="E112" s="9"/>
      <c r="F112" s="9"/>
      <c r="G112" s="9"/>
    </row>
  </sheetData>
  <mergeCells count="9">
    <mergeCell ref="A72:B72"/>
    <mergeCell ref="A73:B73"/>
    <mergeCell ref="A75:G75"/>
    <mergeCell ref="A106:G106"/>
    <mergeCell ref="A1:G1"/>
    <mergeCell ref="A4:G4"/>
    <mergeCell ref="A19:G19"/>
    <mergeCell ref="A51:G51"/>
    <mergeCell ref="A71:B7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9800"/>
  </sheetPr>
  <dimension ref="A1:H124"/>
  <sheetViews>
    <sheetView topLeftCell="A96" zoomScaleNormal="100" workbookViewId="0">
      <selection activeCell="G31" sqref="G31"/>
    </sheetView>
  </sheetViews>
  <sheetFormatPr defaultColWidth="8.7109375" defaultRowHeight="14.45"/>
  <cols>
    <col min="1" max="1" width="30" customWidth="1"/>
    <col min="2" max="2" width="22" customWidth="1"/>
    <col min="3" max="3" width="16" customWidth="1"/>
    <col min="4" max="4" width="40.42578125" bestFit="1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183</v>
      </c>
      <c r="B1" s="48"/>
      <c r="C1" s="48"/>
      <c r="D1" s="48"/>
      <c r="E1" s="48"/>
      <c r="F1" s="48"/>
      <c r="G1" s="48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101</v>
      </c>
      <c r="C6" s="3">
        <v>3</v>
      </c>
      <c r="D6" s="3"/>
      <c r="E6" s="3"/>
      <c r="F6" s="3"/>
      <c r="G6" s="3"/>
    </row>
    <row r="7" spans="1:7">
      <c r="A7" s="3" t="s">
        <v>12</v>
      </c>
      <c r="B7" s="3" t="s">
        <v>54</v>
      </c>
      <c r="C7" s="3">
        <v>3</v>
      </c>
      <c r="D7" s="3"/>
      <c r="E7" s="3"/>
      <c r="F7" s="3"/>
      <c r="G7" s="3"/>
    </row>
    <row r="8" spans="1:7">
      <c r="A8" s="3" t="s">
        <v>12</v>
      </c>
      <c r="B8" s="3" t="s">
        <v>184</v>
      </c>
      <c r="C8" s="3">
        <v>1</v>
      </c>
      <c r="D8" s="3"/>
      <c r="E8" s="3"/>
      <c r="F8" s="3"/>
      <c r="G8" s="3"/>
    </row>
    <row r="9" spans="1:7">
      <c r="A9" s="3" t="s">
        <v>12</v>
      </c>
      <c r="B9" s="3" t="s">
        <v>99</v>
      </c>
      <c r="C9" s="3">
        <v>1</v>
      </c>
      <c r="D9" s="3"/>
      <c r="E9" s="3"/>
      <c r="F9" s="3"/>
      <c r="G9" s="3"/>
    </row>
    <row r="10" spans="1:7">
      <c r="A10" s="3" t="s">
        <v>125</v>
      </c>
      <c r="B10" s="3" t="s">
        <v>53</v>
      </c>
      <c r="C10" s="3">
        <v>15</v>
      </c>
      <c r="D10" s="3"/>
      <c r="E10" s="3"/>
      <c r="F10" s="3"/>
      <c r="G10" s="3"/>
    </row>
    <row r="11" spans="1:7">
      <c r="A11" s="3" t="s">
        <v>125</v>
      </c>
      <c r="B11" s="3" t="s">
        <v>99</v>
      </c>
      <c r="C11" s="3">
        <v>2</v>
      </c>
      <c r="D11" s="3"/>
      <c r="E11" s="3"/>
      <c r="F11" s="3"/>
      <c r="G11" s="3"/>
    </row>
    <row r="12" spans="1:7">
      <c r="A12" s="3" t="s">
        <v>125</v>
      </c>
      <c r="B12" s="3" t="s">
        <v>184</v>
      </c>
      <c r="C12" s="3">
        <v>2</v>
      </c>
      <c r="D12" s="3"/>
      <c r="E12" s="3"/>
      <c r="F12" s="3"/>
      <c r="G12" s="3"/>
    </row>
    <row r="13" spans="1:7">
      <c r="A13" s="3" t="s">
        <v>185</v>
      </c>
      <c r="B13" s="3" t="s">
        <v>101</v>
      </c>
      <c r="C13" s="3">
        <v>3</v>
      </c>
      <c r="D13" s="3"/>
      <c r="E13" s="3"/>
      <c r="F13" s="3"/>
      <c r="G13" s="3"/>
    </row>
    <row r="14" spans="1:7">
      <c r="A14" s="3" t="s">
        <v>186</v>
      </c>
      <c r="B14" s="3" t="s">
        <v>101</v>
      </c>
      <c r="C14" s="3">
        <v>3</v>
      </c>
      <c r="D14" s="3"/>
      <c r="E14" s="3"/>
      <c r="F14" s="3"/>
      <c r="G14" s="3"/>
    </row>
    <row r="15" spans="1:7">
      <c r="A15" s="4"/>
      <c r="B15" s="4"/>
      <c r="C15" s="4"/>
      <c r="D15" s="4"/>
    </row>
    <row r="16" spans="1:7">
      <c r="A16" s="4"/>
      <c r="B16" s="4"/>
      <c r="C16" s="4"/>
      <c r="D16" s="4"/>
    </row>
    <row r="17" spans="1:7">
      <c r="A17" s="4"/>
      <c r="B17" s="4"/>
      <c r="C17" s="4"/>
      <c r="D17" s="4"/>
    </row>
    <row r="18" spans="1:7">
      <c r="A18" s="6" t="s">
        <v>56</v>
      </c>
      <c r="B18" s="6"/>
      <c r="C18" s="6">
        <f>SUM(C6:C17)</f>
        <v>33</v>
      </c>
      <c r="D18" s="6"/>
      <c r="E18" s="6"/>
      <c r="F18" s="6"/>
      <c r="G18" s="6"/>
    </row>
    <row r="20" spans="1:7">
      <c r="A20" s="50" t="s">
        <v>57</v>
      </c>
      <c r="B20" s="50"/>
      <c r="C20" s="50"/>
      <c r="D20" s="50"/>
      <c r="E20" s="50"/>
      <c r="F20" s="50"/>
      <c r="G20" s="50"/>
    </row>
    <row r="21" spans="1:7">
      <c r="A21" s="8" t="s">
        <v>58</v>
      </c>
      <c r="B21" s="8" t="s">
        <v>59</v>
      </c>
      <c r="C21" s="8" t="s">
        <v>51</v>
      </c>
      <c r="D21" s="8" t="s">
        <v>50</v>
      </c>
      <c r="E21" s="8" t="s">
        <v>60</v>
      </c>
      <c r="F21" s="8" t="s">
        <v>61</v>
      </c>
      <c r="G21" s="8" t="s">
        <v>10</v>
      </c>
    </row>
    <row r="22" spans="1:7">
      <c r="A22" s="24" t="s">
        <v>138</v>
      </c>
      <c r="B22" s="24" t="s">
        <v>116</v>
      </c>
      <c r="C22" s="24" t="s">
        <v>101</v>
      </c>
      <c r="D22" s="24" t="s">
        <v>96</v>
      </c>
      <c r="E22" s="24" t="s">
        <v>66</v>
      </c>
      <c r="F22" s="24">
        <v>1</v>
      </c>
      <c r="G22" s="9"/>
    </row>
    <row r="23" spans="1:7">
      <c r="A23" s="24" t="s">
        <v>187</v>
      </c>
      <c r="B23" s="24" t="s">
        <v>116</v>
      </c>
      <c r="C23" s="24" t="s">
        <v>101</v>
      </c>
      <c r="D23" s="24" t="s">
        <v>96</v>
      </c>
      <c r="E23" s="24" t="s">
        <v>69</v>
      </c>
      <c r="F23" s="24"/>
      <c r="G23" s="9"/>
    </row>
    <row r="24" spans="1:7">
      <c r="A24" s="24" t="s">
        <v>188</v>
      </c>
      <c r="B24" s="24" t="s">
        <v>189</v>
      </c>
      <c r="C24" s="24" t="s">
        <v>54</v>
      </c>
      <c r="D24" s="24" t="s">
        <v>96</v>
      </c>
      <c r="E24" s="24" t="s">
        <v>69</v>
      </c>
      <c r="F24" s="24"/>
      <c r="G24" s="9"/>
    </row>
    <row r="25" spans="1:7">
      <c r="A25" s="24" t="s">
        <v>130</v>
      </c>
      <c r="B25" s="24" t="s">
        <v>190</v>
      </c>
      <c r="C25" s="24" t="s">
        <v>54</v>
      </c>
      <c r="D25" s="24" t="s">
        <v>96</v>
      </c>
      <c r="E25" s="24" t="s">
        <v>69</v>
      </c>
      <c r="F25" s="24"/>
      <c r="G25" s="9"/>
    </row>
    <row r="26" spans="1:7">
      <c r="A26" s="24" t="s">
        <v>191</v>
      </c>
      <c r="B26" s="24" t="s">
        <v>192</v>
      </c>
      <c r="C26" s="24" t="s">
        <v>54</v>
      </c>
      <c r="D26" s="24" t="s">
        <v>96</v>
      </c>
      <c r="E26" s="24" t="s">
        <v>69</v>
      </c>
      <c r="F26" s="24"/>
      <c r="G26" s="9"/>
    </row>
    <row r="27" spans="1:7">
      <c r="A27" s="24" t="s">
        <v>193</v>
      </c>
      <c r="B27" s="24" t="s">
        <v>194</v>
      </c>
      <c r="C27" s="24" t="s">
        <v>184</v>
      </c>
      <c r="D27" s="24" t="s">
        <v>96</v>
      </c>
      <c r="E27" s="24" t="s">
        <v>69</v>
      </c>
      <c r="F27" s="24"/>
      <c r="G27" s="9"/>
    </row>
    <row r="28" spans="1:7">
      <c r="A28" s="24" t="s">
        <v>195</v>
      </c>
      <c r="B28" s="24" t="s">
        <v>196</v>
      </c>
      <c r="C28" s="24" t="s">
        <v>99</v>
      </c>
      <c r="D28" s="24" t="s">
        <v>96</v>
      </c>
      <c r="E28" s="24" t="s">
        <v>69</v>
      </c>
      <c r="F28" s="24"/>
      <c r="G28" s="9"/>
    </row>
    <row r="29" spans="1:7">
      <c r="A29" s="24" t="s">
        <v>197</v>
      </c>
      <c r="B29" s="24" t="s">
        <v>111</v>
      </c>
      <c r="C29" s="24" t="s">
        <v>101</v>
      </c>
      <c r="D29" s="24" t="s">
        <v>96</v>
      </c>
      <c r="E29" s="24" t="s">
        <v>69</v>
      </c>
      <c r="F29" s="24"/>
      <c r="G29" s="9"/>
    </row>
    <row r="30" spans="1:7">
      <c r="A30" s="24" t="s">
        <v>198</v>
      </c>
      <c r="B30" s="24" t="s">
        <v>154</v>
      </c>
      <c r="C30" s="24" t="s">
        <v>53</v>
      </c>
      <c r="D30" s="24" t="s">
        <v>199</v>
      </c>
      <c r="E30" s="24" t="s">
        <v>66</v>
      </c>
      <c r="F30" s="24">
        <v>2</v>
      </c>
      <c r="G30" s="24" t="s">
        <v>200</v>
      </c>
    </row>
    <row r="31" spans="1:7">
      <c r="A31" s="24" t="s">
        <v>201</v>
      </c>
      <c r="B31" s="24" t="s">
        <v>202</v>
      </c>
      <c r="C31" s="24" t="s">
        <v>53</v>
      </c>
      <c r="D31" s="24" t="s">
        <v>203</v>
      </c>
      <c r="E31" s="24" t="s">
        <v>69</v>
      </c>
      <c r="F31" s="24"/>
      <c r="G31" s="24"/>
    </row>
    <row r="32" spans="1:7">
      <c r="A32" s="24" t="s">
        <v>204</v>
      </c>
      <c r="B32" s="25" t="s">
        <v>205</v>
      </c>
      <c r="C32" s="24" t="s">
        <v>53</v>
      </c>
      <c r="D32" s="24" t="s">
        <v>203</v>
      </c>
      <c r="E32" s="24" t="s">
        <v>69</v>
      </c>
      <c r="F32" s="24"/>
      <c r="G32" s="24"/>
    </row>
    <row r="33" spans="1:7">
      <c r="A33" s="24" t="s">
        <v>206</v>
      </c>
      <c r="B33" s="24" t="s">
        <v>207</v>
      </c>
      <c r="C33" s="24" t="s">
        <v>53</v>
      </c>
      <c r="D33" s="24" t="s">
        <v>203</v>
      </c>
      <c r="E33" s="24" t="s">
        <v>69</v>
      </c>
      <c r="F33" s="24"/>
      <c r="G33" s="24"/>
    </row>
    <row r="34" spans="1:7">
      <c r="A34" s="24" t="s">
        <v>208</v>
      </c>
      <c r="B34" s="24" t="s">
        <v>209</v>
      </c>
      <c r="C34" s="24" t="s">
        <v>53</v>
      </c>
      <c r="D34" s="24" t="s">
        <v>203</v>
      </c>
      <c r="E34" s="24" t="s">
        <v>66</v>
      </c>
      <c r="F34" s="24">
        <v>1</v>
      </c>
      <c r="G34" s="24"/>
    </row>
    <row r="35" spans="1:7">
      <c r="A35" s="24" t="s">
        <v>210</v>
      </c>
      <c r="B35" s="24" t="s">
        <v>194</v>
      </c>
      <c r="C35" s="24" t="s">
        <v>184</v>
      </c>
      <c r="D35" s="24" t="s">
        <v>203</v>
      </c>
      <c r="E35" s="24" t="s">
        <v>69</v>
      </c>
      <c r="F35" s="24"/>
      <c r="G35" s="24"/>
    </row>
    <row r="36" spans="1:7">
      <c r="A36" s="24" t="s">
        <v>211</v>
      </c>
      <c r="B36" s="24" t="s">
        <v>202</v>
      </c>
      <c r="C36" s="24" t="s">
        <v>53</v>
      </c>
      <c r="D36" s="24" t="s">
        <v>203</v>
      </c>
      <c r="E36" s="24" t="s">
        <v>69</v>
      </c>
      <c r="F36" s="24"/>
      <c r="G36" s="24"/>
    </row>
    <row r="37" spans="1:7">
      <c r="A37" s="24" t="s">
        <v>212</v>
      </c>
      <c r="B37" s="24" t="s">
        <v>207</v>
      </c>
      <c r="C37" s="24" t="s">
        <v>53</v>
      </c>
      <c r="D37" s="24" t="s">
        <v>203</v>
      </c>
      <c r="E37" s="24" t="s">
        <v>69</v>
      </c>
      <c r="F37" s="24"/>
      <c r="G37" s="24"/>
    </row>
    <row r="38" spans="1:7">
      <c r="A38" s="24" t="s">
        <v>213</v>
      </c>
      <c r="B38" s="24" t="s">
        <v>154</v>
      </c>
      <c r="C38" s="24" t="s">
        <v>53</v>
      </c>
      <c r="D38" s="24" t="s">
        <v>203</v>
      </c>
      <c r="E38" s="24" t="s">
        <v>66</v>
      </c>
      <c r="F38" s="24">
        <v>1</v>
      </c>
      <c r="G38" s="24"/>
    </row>
    <row r="39" spans="1:7">
      <c r="A39" s="24" t="s">
        <v>214</v>
      </c>
      <c r="B39" s="24" t="s">
        <v>215</v>
      </c>
      <c r="C39" s="24" t="s">
        <v>53</v>
      </c>
      <c r="D39" s="24" t="s">
        <v>203</v>
      </c>
      <c r="E39" s="24" t="s">
        <v>69</v>
      </c>
      <c r="F39" s="24"/>
      <c r="G39" s="24"/>
    </row>
    <row r="40" spans="1:7">
      <c r="A40" s="24" t="s">
        <v>216</v>
      </c>
      <c r="B40" s="24" t="s">
        <v>194</v>
      </c>
      <c r="C40" s="24" t="s">
        <v>184</v>
      </c>
      <c r="D40" s="24" t="s">
        <v>203</v>
      </c>
      <c r="E40" s="24" t="s">
        <v>69</v>
      </c>
      <c r="F40" s="24"/>
      <c r="G40" s="24"/>
    </row>
    <row r="41" spans="1:7">
      <c r="A41" s="24" t="s">
        <v>217</v>
      </c>
      <c r="B41" s="24" t="s">
        <v>205</v>
      </c>
      <c r="C41" s="24" t="s">
        <v>53</v>
      </c>
      <c r="D41" s="24" t="s">
        <v>203</v>
      </c>
      <c r="E41" s="24" t="s">
        <v>69</v>
      </c>
      <c r="F41" s="24"/>
      <c r="G41" s="24"/>
    </row>
    <row r="42" spans="1:7">
      <c r="A42" s="24" t="s">
        <v>218</v>
      </c>
      <c r="B42" s="24" t="s">
        <v>133</v>
      </c>
      <c r="C42" s="24" t="s">
        <v>53</v>
      </c>
      <c r="D42" s="24" t="s">
        <v>203</v>
      </c>
      <c r="E42" s="24" t="s">
        <v>69</v>
      </c>
      <c r="F42" s="24"/>
      <c r="G42" s="24"/>
    </row>
    <row r="43" spans="1:7">
      <c r="A43" s="24" t="s">
        <v>219</v>
      </c>
      <c r="B43" s="24" t="s">
        <v>154</v>
      </c>
      <c r="C43" s="24" t="s">
        <v>53</v>
      </c>
      <c r="D43" s="24" t="s">
        <v>203</v>
      </c>
      <c r="E43" s="24" t="s">
        <v>69</v>
      </c>
      <c r="F43" s="24"/>
      <c r="G43" s="24"/>
    </row>
    <row r="44" spans="1:7">
      <c r="A44" s="24" t="s">
        <v>220</v>
      </c>
      <c r="B44" s="24" t="s">
        <v>221</v>
      </c>
      <c r="C44" s="24" t="s">
        <v>99</v>
      </c>
      <c r="D44" s="24" t="s">
        <v>203</v>
      </c>
      <c r="E44" s="24" t="s">
        <v>69</v>
      </c>
      <c r="F44" s="24"/>
      <c r="G44" s="24"/>
    </row>
    <row r="45" spans="1:7">
      <c r="A45" s="24" t="s">
        <v>222</v>
      </c>
      <c r="B45" s="24" t="s">
        <v>223</v>
      </c>
      <c r="C45" s="24" t="s">
        <v>53</v>
      </c>
      <c r="D45" s="24" t="s">
        <v>203</v>
      </c>
      <c r="E45" s="24" t="s">
        <v>69</v>
      </c>
      <c r="F45" s="24"/>
      <c r="G45" s="24"/>
    </row>
    <row r="46" spans="1:7">
      <c r="A46" s="24" t="s">
        <v>224</v>
      </c>
      <c r="B46" s="24" t="s">
        <v>221</v>
      </c>
      <c r="C46" s="24" t="s">
        <v>99</v>
      </c>
      <c r="D46" s="24" t="s">
        <v>203</v>
      </c>
      <c r="E46" s="24" t="s">
        <v>69</v>
      </c>
      <c r="F46" s="24"/>
      <c r="G46" s="24"/>
    </row>
    <row r="47" spans="1:7">
      <c r="A47" s="25" t="s">
        <v>225</v>
      </c>
      <c r="B47" s="25" t="s">
        <v>226</v>
      </c>
      <c r="C47" s="25" t="s">
        <v>101</v>
      </c>
      <c r="D47" s="24" t="s">
        <v>203</v>
      </c>
      <c r="E47" s="24" t="s">
        <v>66</v>
      </c>
      <c r="F47" s="24">
        <v>1</v>
      </c>
      <c r="G47" s="24"/>
    </row>
    <row r="48" spans="1:7">
      <c r="A48" s="34" t="s">
        <v>227</v>
      </c>
      <c r="B48" s="34" t="s">
        <v>228</v>
      </c>
      <c r="C48" s="34" t="s">
        <v>53</v>
      </c>
      <c r="D48" s="34" t="s">
        <v>203</v>
      </c>
      <c r="E48" s="34" t="s">
        <v>66</v>
      </c>
      <c r="F48" s="34">
        <v>1</v>
      </c>
      <c r="G48" s="32"/>
    </row>
    <row r="49" spans="1:7">
      <c r="A49" s="34" t="s">
        <v>229</v>
      </c>
      <c r="B49" s="34" t="s">
        <v>133</v>
      </c>
      <c r="C49" s="34" t="s">
        <v>53</v>
      </c>
      <c r="D49" s="34" t="s">
        <v>203</v>
      </c>
      <c r="E49" s="34" t="s">
        <v>66</v>
      </c>
      <c r="F49" s="34">
        <v>1</v>
      </c>
      <c r="G49" s="32"/>
    </row>
    <row r="50" spans="1:7">
      <c r="A50" s="24" t="s">
        <v>230</v>
      </c>
      <c r="B50" s="24" t="s">
        <v>111</v>
      </c>
      <c r="C50" s="24" t="s">
        <v>101</v>
      </c>
      <c r="D50" s="24" t="s">
        <v>231</v>
      </c>
      <c r="E50" s="24" t="s">
        <v>66</v>
      </c>
      <c r="F50" s="24">
        <v>1</v>
      </c>
      <c r="G50" s="24"/>
    </row>
    <row r="51" spans="1:7">
      <c r="A51" s="24" t="s">
        <v>232</v>
      </c>
      <c r="B51" s="24" t="s">
        <v>111</v>
      </c>
      <c r="C51" s="24" t="s">
        <v>101</v>
      </c>
      <c r="D51" s="24" t="s">
        <v>233</v>
      </c>
      <c r="E51" s="24" t="s">
        <v>69</v>
      </c>
      <c r="F51" s="24"/>
      <c r="G51" s="24"/>
    </row>
    <row r="52" spans="1:7">
      <c r="A52" s="25" t="s">
        <v>187</v>
      </c>
      <c r="B52" s="25" t="s">
        <v>116</v>
      </c>
      <c r="C52" s="25" t="s">
        <v>101</v>
      </c>
      <c r="D52" s="25" t="s">
        <v>186</v>
      </c>
      <c r="E52" s="25" t="s">
        <v>66</v>
      </c>
      <c r="F52" s="25">
        <v>1</v>
      </c>
      <c r="G52" s="24"/>
    </row>
    <row r="53" spans="1:7">
      <c r="A53" s="24" t="s">
        <v>234</v>
      </c>
      <c r="B53" s="24" t="s">
        <v>111</v>
      </c>
      <c r="C53" s="24" t="s">
        <v>101</v>
      </c>
      <c r="D53" s="25" t="s">
        <v>186</v>
      </c>
      <c r="E53" s="24" t="s">
        <v>69</v>
      </c>
      <c r="F53" s="24"/>
      <c r="G53" s="24"/>
    </row>
    <row r="54" spans="1:7">
      <c r="A54" s="34"/>
      <c r="B54" s="34"/>
      <c r="C54" s="34"/>
      <c r="D54" s="34"/>
      <c r="E54" s="34"/>
      <c r="F54" s="34"/>
      <c r="G54" s="9"/>
    </row>
    <row r="55" spans="1:7">
      <c r="A55" s="9"/>
      <c r="B55" s="9"/>
      <c r="C55" s="9"/>
      <c r="D55" s="9"/>
      <c r="E55" s="9"/>
      <c r="F55" s="9"/>
      <c r="G55" s="9"/>
    </row>
    <row r="56" spans="1:7">
      <c r="A56" s="6" t="s">
        <v>84</v>
      </c>
      <c r="B56" s="6"/>
      <c r="C56" s="6"/>
      <c r="D56" s="6"/>
      <c r="E56" s="6">
        <f>COUNTIF(E22:E55,"Y")</f>
        <v>9</v>
      </c>
      <c r="F56" s="6">
        <f>SUM(F22:F55)</f>
        <v>10</v>
      </c>
      <c r="G56" s="6"/>
    </row>
    <row r="58" spans="1:7">
      <c r="A58" s="50" t="s">
        <v>85</v>
      </c>
      <c r="B58" s="50"/>
      <c r="C58" s="50"/>
      <c r="D58" s="50"/>
      <c r="E58" s="50"/>
      <c r="F58" s="50"/>
      <c r="G58" s="50"/>
    </row>
    <row r="59" spans="1:7">
      <c r="A59" s="8" t="s">
        <v>86</v>
      </c>
      <c r="B59" s="8" t="s">
        <v>59</v>
      </c>
      <c r="C59" s="8" t="s">
        <v>51</v>
      </c>
      <c r="D59" s="8" t="s">
        <v>87</v>
      </c>
      <c r="E59" s="8" t="s">
        <v>88</v>
      </c>
      <c r="F59" s="8" t="s">
        <v>89</v>
      </c>
      <c r="G59" s="8" t="s">
        <v>10</v>
      </c>
    </row>
    <row r="60" spans="1:7">
      <c r="A60" s="24" t="s">
        <v>138</v>
      </c>
      <c r="B60" s="24" t="s">
        <v>116</v>
      </c>
      <c r="C60" s="24" t="s">
        <v>101</v>
      </c>
      <c r="D60" s="24" t="s">
        <v>96</v>
      </c>
      <c r="E60" s="29">
        <v>44883</v>
      </c>
      <c r="F60" s="24">
        <v>1</v>
      </c>
      <c r="G60" s="9"/>
    </row>
    <row r="61" spans="1:7">
      <c r="A61" s="24" t="s">
        <v>198</v>
      </c>
      <c r="B61" s="24" t="s">
        <v>154</v>
      </c>
      <c r="C61" s="24" t="s">
        <v>53</v>
      </c>
      <c r="D61" s="24" t="s">
        <v>235</v>
      </c>
      <c r="E61" s="29">
        <v>44904</v>
      </c>
      <c r="F61" s="24">
        <v>1</v>
      </c>
      <c r="G61" s="9"/>
    </row>
    <row r="62" spans="1:7">
      <c r="A62" s="34" t="s">
        <v>236</v>
      </c>
      <c r="B62" s="34" t="s">
        <v>228</v>
      </c>
      <c r="C62" s="34" t="s">
        <v>53</v>
      </c>
      <c r="D62" s="34" t="s">
        <v>237</v>
      </c>
      <c r="E62" s="35">
        <v>44904</v>
      </c>
      <c r="F62" s="34">
        <v>1</v>
      </c>
      <c r="G62" s="9"/>
    </row>
    <row r="63" spans="1:7">
      <c r="A63" s="24" t="s">
        <v>208</v>
      </c>
      <c r="B63" s="24" t="s">
        <v>209</v>
      </c>
      <c r="C63" s="24" t="s">
        <v>53</v>
      </c>
      <c r="D63" s="24" t="s">
        <v>238</v>
      </c>
      <c r="E63" s="29">
        <v>44925</v>
      </c>
      <c r="F63" s="24">
        <v>1</v>
      </c>
      <c r="G63" s="9"/>
    </row>
    <row r="64" spans="1:7">
      <c r="A64" s="34" t="s">
        <v>229</v>
      </c>
      <c r="B64" s="34" t="s">
        <v>133</v>
      </c>
      <c r="C64" s="34" t="s">
        <v>53</v>
      </c>
      <c r="D64" s="34" t="s">
        <v>239</v>
      </c>
      <c r="E64" s="35">
        <v>44933</v>
      </c>
      <c r="F64" s="34">
        <v>1</v>
      </c>
      <c r="G64" s="9"/>
    </row>
    <row r="65" spans="1:7">
      <c r="A65" s="24" t="s">
        <v>213</v>
      </c>
      <c r="B65" s="24" t="s">
        <v>154</v>
      </c>
      <c r="C65" s="24" t="s">
        <v>53</v>
      </c>
      <c r="D65" s="24" t="s">
        <v>240</v>
      </c>
      <c r="E65" s="29">
        <v>44939</v>
      </c>
      <c r="F65" s="24">
        <v>1</v>
      </c>
      <c r="G65" s="9"/>
    </row>
    <row r="66" spans="1:7">
      <c r="A66" s="25" t="s">
        <v>225</v>
      </c>
      <c r="B66" s="25" t="s">
        <v>226</v>
      </c>
      <c r="C66" s="25" t="s">
        <v>101</v>
      </c>
      <c r="D66" s="25" t="s">
        <v>241</v>
      </c>
      <c r="E66" s="33">
        <v>44960</v>
      </c>
      <c r="F66" s="25">
        <v>1</v>
      </c>
      <c r="G66" s="9"/>
    </row>
    <row r="67" spans="1:7">
      <c r="A67" s="24" t="s">
        <v>230</v>
      </c>
      <c r="B67" s="24" t="s">
        <v>111</v>
      </c>
      <c r="C67" s="24" t="s">
        <v>101</v>
      </c>
      <c r="D67" s="24" t="s">
        <v>185</v>
      </c>
      <c r="E67" s="33">
        <v>44961</v>
      </c>
      <c r="F67" s="24">
        <v>1</v>
      </c>
      <c r="G67" s="9"/>
    </row>
    <row r="68" spans="1:7">
      <c r="A68" s="24" t="s">
        <v>198</v>
      </c>
      <c r="B68" s="24" t="s">
        <v>154</v>
      </c>
      <c r="C68" s="24" t="s">
        <v>53</v>
      </c>
      <c r="D68" s="24" t="s">
        <v>242</v>
      </c>
      <c r="E68" s="33">
        <v>44974</v>
      </c>
      <c r="F68" s="24">
        <v>1</v>
      </c>
      <c r="G68" s="9"/>
    </row>
    <row r="69" spans="1:7">
      <c r="A69" s="25" t="s">
        <v>187</v>
      </c>
      <c r="B69" s="25" t="s">
        <v>116</v>
      </c>
      <c r="C69" s="25" t="s">
        <v>101</v>
      </c>
      <c r="D69" s="25" t="s">
        <v>186</v>
      </c>
      <c r="E69" s="33">
        <v>44995</v>
      </c>
      <c r="F69" s="25">
        <v>1</v>
      </c>
      <c r="G69" s="9"/>
    </row>
    <row r="70" spans="1:7">
      <c r="A70" s="9"/>
      <c r="B70" s="9"/>
      <c r="C70" s="9"/>
      <c r="D70" s="9"/>
      <c r="E70" s="9"/>
      <c r="F70" s="9"/>
      <c r="G70" s="9"/>
    </row>
    <row r="71" spans="1:7">
      <c r="A71" s="9"/>
      <c r="B71" s="9"/>
      <c r="C71" s="9"/>
      <c r="D71" s="9"/>
      <c r="E71" s="9"/>
      <c r="F71" s="9"/>
      <c r="G71" s="9"/>
    </row>
    <row r="72" spans="1:7">
      <c r="A72" s="9"/>
      <c r="B72" s="9"/>
      <c r="C72" s="9"/>
      <c r="D72" s="9"/>
      <c r="E72" s="9"/>
      <c r="F72" s="9"/>
      <c r="G72" s="9"/>
    </row>
    <row r="73" spans="1:7">
      <c r="A73" s="9"/>
      <c r="B73" s="9"/>
      <c r="C73" s="9"/>
      <c r="D73" s="9"/>
      <c r="E73" s="9"/>
      <c r="F73" s="9"/>
      <c r="G73" s="9"/>
    </row>
    <row r="74" spans="1:7">
      <c r="A74" s="9"/>
      <c r="B74" s="9"/>
      <c r="C74" s="9"/>
      <c r="D74" s="9"/>
      <c r="E74" s="9"/>
      <c r="F74" s="9"/>
      <c r="G74" s="9"/>
    </row>
    <row r="76" spans="1:7">
      <c r="A76" s="46" t="s">
        <v>92</v>
      </c>
      <c r="B76" s="46"/>
      <c r="C76" s="6">
        <f>COUNTA(A60:A74)</f>
        <v>10</v>
      </c>
      <c r="D76" s="7"/>
      <c r="E76" s="7"/>
      <c r="F76" s="7"/>
      <c r="G76" s="7"/>
    </row>
    <row r="77" spans="1:7">
      <c r="A77" s="46" t="s">
        <v>93</v>
      </c>
      <c r="B77" s="46"/>
      <c r="C77" s="6">
        <f>COUNTIF(F60:F74,1)</f>
        <v>10</v>
      </c>
      <c r="D77" s="7"/>
      <c r="E77" s="7"/>
      <c r="F77" s="7"/>
      <c r="G77" s="7"/>
    </row>
    <row r="78" spans="1:7">
      <c r="A78" s="46" t="s">
        <v>94</v>
      </c>
      <c r="B78" s="46"/>
      <c r="C78" s="6">
        <f>C76-C77</f>
        <v>0</v>
      </c>
      <c r="D78" s="7"/>
      <c r="E78" s="7"/>
      <c r="F78" s="7"/>
      <c r="G78" s="7"/>
    </row>
    <row r="80" spans="1:7">
      <c r="A80" s="50" t="s">
        <v>95</v>
      </c>
      <c r="B80" s="50"/>
      <c r="C80" s="50"/>
      <c r="D80" s="50"/>
      <c r="E80" s="50"/>
      <c r="F80" s="50"/>
      <c r="G80" s="50"/>
    </row>
    <row r="81" spans="1:7">
      <c r="A81" s="10" t="s">
        <v>96</v>
      </c>
    </row>
    <row r="82" spans="1:7">
      <c r="A82" s="8" t="s">
        <v>59</v>
      </c>
      <c r="B82" s="8" t="s">
        <v>51</v>
      </c>
      <c r="C82" s="8" t="s">
        <v>10</v>
      </c>
      <c r="D82" s="8"/>
      <c r="E82" s="8"/>
      <c r="F82" s="8"/>
      <c r="G82" s="8"/>
    </row>
    <row r="83" spans="1:7">
      <c r="A83" s="25" t="s">
        <v>116</v>
      </c>
      <c r="B83" s="24" t="s">
        <v>101</v>
      </c>
      <c r="C83" s="9"/>
    </row>
    <row r="84" spans="1:7">
      <c r="A84" s="25" t="s">
        <v>189</v>
      </c>
      <c r="B84" s="24" t="s">
        <v>54</v>
      </c>
      <c r="C84" s="9"/>
    </row>
    <row r="85" spans="1:7">
      <c r="A85" s="25" t="s">
        <v>190</v>
      </c>
      <c r="B85" s="24" t="s">
        <v>54</v>
      </c>
      <c r="C85" s="9"/>
    </row>
    <row r="86" spans="1:7">
      <c r="A86" s="25" t="s">
        <v>192</v>
      </c>
      <c r="B86" s="24" t="s">
        <v>54</v>
      </c>
      <c r="C86" s="9"/>
    </row>
    <row r="87" spans="1:7">
      <c r="A87" s="25" t="s">
        <v>194</v>
      </c>
      <c r="B87" s="24" t="s">
        <v>184</v>
      </c>
      <c r="C87" s="9"/>
    </row>
    <row r="88" spans="1:7">
      <c r="A88" s="25" t="s">
        <v>196</v>
      </c>
      <c r="B88" s="24" t="s">
        <v>99</v>
      </c>
      <c r="C88" s="9"/>
    </row>
    <row r="89" spans="1:7">
      <c r="A89" s="25" t="s">
        <v>111</v>
      </c>
      <c r="B89" s="24" t="s">
        <v>101</v>
      </c>
      <c r="C89" s="9"/>
    </row>
    <row r="90" spans="1:7">
      <c r="A90" s="9"/>
      <c r="B90" s="9"/>
      <c r="C90" s="9"/>
    </row>
    <row r="92" spans="1:7">
      <c r="A92" s="10" t="s">
        <v>179</v>
      </c>
    </row>
    <row r="93" spans="1:7">
      <c r="A93" s="8" t="s">
        <v>59</v>
      </c>
      <c r="B93" s="8" t="s">
        <v>51</v>
      </c>
      <c r="C93" s="8" t="s">
        <v>10</v>
      </c>
      <c r="D93" s="8"/>
      <c r="E93" s="8"/>
      <c r="F93" s="8"/>
      <c r="G93" s="8"/>
    </row>
    <row r="94" spans="1:7">
      <c r="A94" s="24" t="s">
        <v>226</v>
      </c>
      <c r="B94" s="24" t="s">
        <v>53</v>
      </c>
      <c r="C94" s="9"/>
    </row>
    <row r="95" spans="1:7">
      <c r="A95" s="24" t="s">
        <v>154</v>
      </c>
      <c r="B95" s="24" t="s">
        <v>53</v>
      </c>
      <c r="C95" s="9"/>
    </row>
    <row r="96" spans="1:7">
      <c r="A96" s="24" t="s">
        <v>202</v>
      </c>
      <c r="B96" s="24" t="s">
        <v>53</v>
      </c>
      <c r="C96" s="9"/>
    </row>
    <row r="97" spans="1:7">
      <c r="A97" s="25" t="s">
        <v>205</v>
      </c>
      <c r="B97" s="24" t="s">
        <v>53</v>
      </c>
      <c r="C97" s="9"/>
    </row>
    <row r="98" spans="1:7">
      <c r="A98" s="25" t="s">
        <v>207</v>
      </c>
      <c r="B98" s="24" t="s">
        <v>53</v>
      </c>
      <c r="C98" s="9"/>
    </row>
    <row r="99" spans="1:7">
      <c r="A99" s="25" t="s">
        <v>209</v>
      </c>
      <c r="B99" s="24" t="s">
        <v>53</v>
      </c>
      <c r="C99" s="9"/>
    </row>
    <row r="100" spans="1:7">
      <c r="A100" s="25" t="s">
        <v>194</v>
      </c>
      <c r="B100" s="24" t="s">
        <v>184</v>
      </c>
      <c r="C100" s="9"/>
    </row>
    <row r="101" spans="1:7">
      <c r="A101" s="24" t="s">
        <v>215</v>
      </c>
      <c r="B101" s="24" t="s">
        <v>53</v>
      </c>
      <c r="C101" s="9"/>
    </row>
    <row r="102" spans="1:7">
      <c r="A102" s="25" t="s">
        <v>223</v>
      </c>
      <c r="B102" s="24" t="s">
        <v>53</v>
      </c>
      <c r="C102" s="9"/>
    </row>
    <row r="103" spans="1:7">
      <c r="A103" s="25" t="s">
        <v>221</v>
      </c>
      <c r="B103" s="24" t="s">
        <v>99</v>
      </c>
      <c r="C103" s="9"/>
    </row>
    <row r="104" spans="1:7">
      <c r="A104" s="24" t="s">
        <v>133</v>
      </c>
      <c r="B104" s="24" t="s">
        <v>53</v>
      </c>
      <c r="C104" s="9"/>
    </row>
    <row r="105" spans="1:7">
      <c r="A105" s="24" t="s">
        <v>228</v>
      </c>
      <c r="B105" s="24" t="s">
        <v>53</v>
      </c>
      <c r="C105" s="9"/>
    </row>
    <row r="106" spans="1:7">
      <c r="A106" s="9"/>
      <c r="B106" s="9"/>
      <c r="C106" s="9"/>
    </row>
    <row r="107" spans="1:7">
      <c r="A107" s="9"/>
      <c r="B107" s="9"/>
      <c r="C107" s="9"/>
    </row>
    <row r="108" spans="1:7">
      <c r="A108" s="9"/>
      <c r="B108" s="9"/>
      <c r="C108" s="9"/>
    </row>
    <row r="110" spans="1:7">
      <c r="A110" s="6" t="s">
        <v>97</v>
      </c>
      <c r="B110" s="6"/>
      <c r="C110" s="6"/>
      <c r="D110" s="6"/>
      <c r="E110" s="6"/>
      <c r="F110" s="6"/>
      <c r="G110" s="6"/>
    </row>
    <row r="112" spans="1:7">
      <c r="A112" s="50" t="s">
        <v>180</v>
      </c>
      <c r="B112" s="50"/>
      <c r="C112" s="50"/>
      <c r="D112" s="50"/>
      <c r="E112" s="50"/>
      <c r="F112" s="50"/>
      <c r="G112" s="50"/>
    </row>
    <row r="113" spans="1:8">
      <c r="A113" s="8" t="s">
        <v>181</v>
      </c>
      <c r="B113" s="8" t="s">
        <v>86</v>
      </c>
      <c r="C113" s="8" t="s">
        <v>59</v>
      </c>
      <c r="D113" s="8" t="s">
        <v>51</v>
      </c>
      <c r="E113" s="8" t="s">
        <v>88</v>
      </c>
      <c r="F113" s="8" t="s">
        <v>182</v>
      </c>
      <c r="G113" s="8" t="s">
        <v>10</v>
      </c>
    </row>
    <row r="114" spans="1:8">
      <c r="A114" s="34" t="s">
        <v>239</v>
      </c>
      <c r="B114" s="34" t="s">
        <v>229</v>
      </c>
      <c r="C114" s="34" t="s">
        <v>133</v>
      </c>
      <c r="D114" s="34" t="s">
        <v>53</v>
      </c>
      <c r="E114" s="35">
        <v>44933</v>
      </c>
      <c r="F114" s="35" t="s">
        <v>91</v>
      </c>
      <c r="G114" s="34"/>
      <c r="H114" s="36"/>
    </row>
    <row r="115" spans="1:8">
      <c r="A115" s="24" t="s">
        <v>185</v>
      </c>
      <c r="B115" s="24" t="s">
        <v>230</v>
      </c>
      <c r="C115" s="24" t="s">
        <v>111</v>
      </c>
      <c r="D115" s="24" t="s">
        <v>101</v>
      </c>
      <c r="E115" s="29">
        <v>44960</v>
      </c>
      <c r="F115" s="33" t="s">
        <v>91</v>
      </c>
      <c r="G115" s="9"/>
    </row>
    <row r="116" spans="1:8">
      <c r="A116" s="24" t="s">
        <v>242</v>
      </c>
      <c r="B116" s="24" t="s">
        <v>198</v>
      </c>
      <c r="C116" s="24" t="s">
        <v>154</v>
      </c>
      <c r="D116" s="24" t="s">
        <v>53</v>
      </c>
      <c r="E116" s="33">
        <v>44974</v>
      </c>
      <c r="F116" s="33" t="s">
        <v>91</v>
      </c>
      <c r="G116" s="9"/>
    </row>
    <row r="117" spans="1:8">
      <c r="A117" s="24" t="s">
        <v>233</v>
      </c>
      <c r="B117" s="24" t="s">
        <v>232</v>
      </c>
      <c r="C117" s="24" t="s">
        <v>111</v>
      </c>
      <c r="D117" s="24" t="s">
        <v>101</v>
      </c>
      <c r="E117" s="29">
        <v>44995</v>
      </c>
      <c r="F117" s="24" t="s">
        <v>243</v>
      </c>
      <c r="G117" s="9"/>
    </row>
    <row r="118" spans="1:8">
      <c r="A118" s="25" t="s">
        <v>186</v>
      </c>
      <c r="B118" s="25" t="s">
        <v>187</v>
      </c>
      <c r="C118" s="25" t="s">
        <v>116</v>
      </c>
      <c r="D118" s="25" t="s">
        <v>101</v>
      </c>
      <c r="E118" s="33">
        <v>44995</v>
      </c>
      <c r="F118" s="25" t="s">
        <v>91</v>
      </c>
      <c r="G118" s="25"/>
    </row>
    <row r="119" spans="1:8">
      <c r="A119" s="24" t="s">
        <v>186</v>
      </c>
      <c r="B119" s="24" t="s">
        <v>234</v>
      </c>
      <c r="C119" s="24" t="s">
        <v>111</v>
      </c>
      <c r="D119" s="24" t="s">
        <v>101</v>
      </c>
      <c r="E119" s="33">
        <v>44995</v>
      </c>
      <c r="F119" s="24" t="s">
        <v>244</v>
      </c>
      <c r="G119" s="9"/>
    </row>
    <row r="120" spans="1:8">
      <c r="A120" s="24"/>
      <c r="B120" s="25"/>
      <c r="C120" s="25"/>
      <c r="D120" s="25"/>
      <c r="E120" s="25"/>
      <c r="F120" s="24"/>
      <c r="G120" s="9"/>
    </row>
    <row r="121" spans="1:8">
      <c r="A121" s="9"/>
      <c r="B121" s="9"/>
      <c r="C121" s="9"/>
      <c r="D121" s="9"/>
      <c r="E121" s="9"/>
      <c r="F121" s="9"/>
      <c r="G121" s="9"/>
    </row>
    <row r="122" spans="1:8">
      <c r="A122" s="9"/>
      <c r="B122" s="9"/>
      <c r="C122" s="9"/>
      <c r="D122" s="9"/>
      <c r="E122" s="9"/>
      <c r="F122" s="9"/>
      <c r="G122" s="9"/>
    </row>
    <row r="123" spans="1:8">
      <c r="A123" s="9"/>
      <c r="B123" s="9"/>
      <c r="C123" s="9"/>
      <c r="D123" s="9"/>
      <c r="E123" s="9"/>
      <c r="F123" s="9"/>
      <c r="G123" s="9"/>
    </row>
    <row r="124" spans="1:8">
      <c r="A124" s="9"/>
      <c r="B124" s="9"/>
      <c r="C124" s="9"/>
      <c r="D124" s="9"/>
      <c r="E124" s="9"/>
      <c r="F124" s="9"/>
      <c r="G124" s="9"/>
    </row>
  </sheetData>
  <mergeCells count="9">
    <mergeCell ref="A77:B77"/>
    <mergeCell ref="A78:B78"/>
    <mergeCell ref="A80:G80"/>
    <mergeCell ref="A112:G112"/>
    <mergeCell ref="A1:G1"/>
    <mergeCell ref="A4:G4"/>
    <mergeCell ref="A20:G20"/>
    <mergeCell ref="A58:G58"/>
    <mergeCell ref="A76:B7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9800"/>
  </sheetPr>
  <dimension ref="A1:G131"/>
  <sheetViews>
    <sheetView zoomScaleNormal="100" workbookViewId="0">
      <selection activeCell="G42" sqref="G42"/>
    </sheetView>
  </sheetViews>
  <sheetFormatPr defaultColWidth="8.7109375" defaultRowHeight="14.45"/>
  <cols>
    <col min="1" max="1" width="30" customWidth="1"/>
    <col min="2" max="2" width="22" customWidth="1"/>
    <col min="3" max="3" width="16" customWidth="1"/>
    <col min="4" max="4" width="62.7109375" bestFit="1" customWidth="1"/>
    <col min="5" max="5" width="14" customWidth="1"/>
    <col min="6" max="6" width="18" customWidth="1"/>
    <col min="7" max="7" width="14.28515625" bestFit="1" customWidth="1"/>
  </cols>
  <sheetData>
    <row r="1" spans="1:7" ht="16.899999999999999">
      <c r="A1" s="48" t="s">
        <v>245</v>
      </c>
      <c r="B1" s="48"/>
      <c r="C1" s="48"/>
      <c r="D1" s="48"/>
      <c r="E1" s="48"/>
      <c r="F1" s="48"/>
      <c r="G1" s="48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53</v>
      </c>
      <c r="C6" s="3">
        <v>3</v>
      </c>
      <c r="D6" s="3"/>
      <c r="E6" s="3"/>
      <c r="F6" s="3"/>
      <c r="G6" s="3"/>
    </row>
    <row r="7" spans="1:7">
      <c r="A7" s="3" t="s">
        <v>12</v>
      </c>
      <c r="B7" s="3" t="s">
        <v>54</v>
      </c>
      <c r="C7" s="3">
        <v>2</v>
      </c>
      <c r="D7" s="3"/>
      <c r="E7" s="3"/>
      <c r="F7" s="3"/>
      <c r="G7" s="3"/>
    </row>
    <row r="8" spans="1:7">
      <c r="A8" s="3" t="s">
        <v>12</v>
      </c>
      <c r="B8" s="3" t="s">
        <v>99</v>
      </c>
      <c r="C8" s="3">
        <v>3</v>
      </c>
      <c r="D8" s="3"/>
      <c r="E8" s="3"/>
      <c r="F8" s="3"/>
      <c r="G8" s="3"/>
    </row>
    <row r="9" spans="1:7">
      <c r="A9" s="3" t="s">
        <v>12</v>
      </c>
      <c r="B9" s="3" t="s">
        <v>101</v>
      </c>
      <c r="C9" s="3">
        <v>4</v>
      </c>
      <c r="D9" s="3"/>
      <c r="E9" s="3"/>
      <c r="F9" s="3"/>
      <c r="G9" s="3"/>
    </row>
    <row r="10" spans="1:7">
      <c r="A10" s="3" t="s">
        <v>125</v>
      </c>
      <c r="B10" s="3" t="s">
        <v>53</v>
      </c>
      <c r="C10" s="3">
        <v>19</v>
      </c>
      <c r="D10" s="3"/>
      <c r="E10" s="3"/>
      <c r="F10" s="3"/>
      <c r="G10" s="3"/>
    </row>
    <row r="11" spans="1:7">
      <c r="A11" s="3" t="s">
        <v>125</v>
      </c>
      <c r="B11" s="3" t="s">
        <v>99</v>
      </c>
      <c r="C11" s="3">
        <v>2</v>
      </c>
      <c r="D11" s="3"/>
      <c r="E11" s="3"/>
      <c r="F11" s="3"/>
      <c r="G11" s="3"/>
    </row>
    <row r="12" spans="1:7">
      <c r="A12" s="3" t="s">
        <v>185</v>
      </c>
      <c r="B12" s="3" t="s">
        <v>101</v>
      </c>
      <c r="C12" s="3">
        <v>2</v>
      </c>
      <c r="D12" s="3"/>
      <c r="E12" s="3"/>
      <c r="F12" s="3"/>
      <c r="G12" s="3"/>
    </row>
    <row r="13" spans="1:7">
      <c r="A13" s="3" t="s">
        <v>186</v>
      </c>
      <c r="B13" s="3" t="s">
        <v>101</v>
      </c>
      <c r="C13" s="3">
        <v>3</v>
      </c>
      <c r="D13" s="3"/>
      <c r="E13" s="3"/>
      <c r="F13" s="3"/>
      <c r="G13" s="3"/>
    </row>
    <row r="14" spans="1:7">
      <c r="A14" s="4"/>
      <c r="B14" s="4"/>
      <c r="C14" s="4"/>
      <c r="D14" s="4"/>
    </row>
    <row r="15" spans="1:7">
      <c r="A15" s="4"/>
      <c r="B15" s="4"/>
      <c r="C15" s="4"/>
      <c r="D15" s="4"/>
    </row>
    <row r="16" spans="1:7">
      <c r="A16" s="4"/>
      <c r="B16" s="4"/>
      <c r="C16" s="4"/>
      <c r="D16" s="4"/>
    </row>
    <row r="17" spans="1:7">
      <c r="A17" s="6" t="s">
        <v>56</v>
      </c>
      <c r="B17" s="6"/>
      <c r="C17" s="6">
        <f>SUM(C6:C16)</f>
        <v>38</v>
      </c>
      <c r="D17" s="6"/>
      <c r="E17" s="6"/>
      <c r="F17" s="6"/>
      <c r="G17" s="6"/>
    </row>
    <row r="19" spans="1:7">
      <c r="A19" s="50" t="s">
        <v>57</v>
      </c>
      <c r="B19" s="50"/>
      <c r="C19" s="50"/>
      <c r="D19" s="50"/>
      <c r="E19" s="50"/>
      <c r="F19" s="50"/>
      <c r="G19" s="50"/>
    </row>
    <row r="20" spans="1:7">
      <c r="A20" s="8" t="s">
        <v>58</v>
      </c>
      <c r="B20" s="8" t="s">
        <v>59</v>
      </c>
      <c r="C20" s="8" t="s">
        <v>51</v>
      </c>
      <c r="D20" s="8" t="s">
        <v>50</v>
      </c>
      <c r="E20" s="8" t="s">
        <v>60</v>
      </c>
      <c r="F20" s="8" t="s">
        <v>61</v>
      </c>
      <c r="G20" s="8" t="s">
        <v>10</v>
      </c>
    </row>
    <row r="21" spans="1:7">
      <c r="A21" s="25" t="s">
        <v>246</v>
      </c>
      <c r="B21" s="25" t="s">
        <v>247</v>
      </c>
      <c r="C21" s="25" t="s">
        <v>53</v>
      </c>
      <c r="D21" s="25" t="s">
        <v>12</v>
      </c>
      <c r="E21" s="25" t="s">
        <v>66</v>
      </c>
      <c r="F21" s="24">
        <v>1</v>
      </c>
      <c r="G21" s="9"/>
    </row>
    <row r="22" spans="1:7">
      <c r="A22" s="25" t="s">
        <v>248</v>
      </c>
      <c r="B22" s="25" t="s">
        <v>249</v>
      </c>
      <c r="C22" s="25" t="s">
        <v>101</v>
      </c>
      <c r="D22" s="25" t="s">
        <v>12</v>
      </c>
      <c r="E22" s="25" t="s">
        <v>69</v>
      </c>
      <c r="F22" s="9"/>
      <c r="G22" s="9"/>
    </row>
    <row r="23" spans="1:7">
      <c r="A23" s="25" t="s">
        <v>250</v>
      </c>
      <c r="B23" s="25" t="s">
        <v>105</v>
      </c>
      <c r="C23" s="25" t="s">
        <v>99</v>
      </c>
      <c r="D23" s="25" t="s">
        <v>12</v>
      </c>
      <c r="E23" s="25" t="s">
        <v>69</v>
      </c>
      <c r="F23" s="9"/>
      <c r="G23" s="9"/>
    </row>
    <row r="24" spans="1:7">
      <c r="A24" s="25" t="s">
        <v>251</v>
      </c>
      <c r="B24" s="25" t="s">
        <v>116</v>
      </c>
      <c r="C24" s="25" t="s">
        <v>101</v>
      </c>
      <c r="D24" s="25" t="s">
        <v>12</v>
      </c>
      <c r="E24" s="25" t="s">
        <v>69</v>
      </c>
      <c r="F24" s="9"/>
      <c r="G24" s="9"/>
    </row>
    <row r="25" spans="1:7">
      <c r="A25" s="24" t="s">
        <v>252</v>
      </c>
      <c r="B25" s="24" t="s">
        <v>131</v>
      </c>
      <c r="C25" s="24" t="s">
        <v>54</v>
      </c>
      <c r="D25" s="25" t="s">
        <v>12</v>
      </c>
      <c r="E25" s="25" t="s">
        <v>69</v>
      </c>
      <c r="F25" s="9"/>
      <c r="G25" s="9"/>
    </row>
    <row r="26" spans="1:7">
      <c r="A26" s="24" t="s">
        <v>253</v>
      </c>
      <c r="B26" s="24" t="s">
        <v>254</v>
      </c>
      <c r="C26" s="24" t="s">
        <v>53</v>
      </c>
      <c r="D26" s="25" t="s">
        <v>12</v>
      </c>
      <c r="E26" s="25" t="s">
        <v>69</v>
      </c>
      <c r="F26" s="9"/>
      <c r="G26" s="9"/>
    </row>
    <row r="27" spans="1:7">
      <c r="A27" s="24" t="s">
        <v>255</v>
      </c>
      <c r="B27" s="24" t="s">
        <v>226</v>
      </c>
      <c r="C27" s="24" t="s">
        <v>101</v>
      </c>
      <c r="D27" s="25" t="s">
        <v>12</v>
      </c>
      <c r="E27" s="25" t="s">
        <v>69</v>
      </c>
      <c r="F27" s="9"/>
      <c r="G27" s="9"/>
    </row>
    <row r="28" spans="1:7">
      <c r="A28" s="24" t="s">
        <v>256</v>
      </c>
      <c r="B28" s="24" t="s">
        <v>257</v>
      </c>
      <c r="C28" s="24" t="s">
        <v>99</v>
      </c>
      <c r="D28" s="25" t="s">
        <v>12</v>
      </c>
      <c r="E28" s="25" t="s">
        <v>69</v>
      </c>
      <c r="F28" s="9"/>
      <c r="G28" s="9"/>
    </row>
    <row r="29" spans="1:7">
      <c r="A29" s="24" t="s">
        <v>258</v>
      </c>
      <c r="B29" s="24" t="s">
        <v>259</v>
      </c>
      <c r="C29" s="24" t="s">
        <v>54</v>
      </c>
      <c r="D29" s="25" t="s">
        <v>12</v>
      </c>
      <c r="E29" s="25" t="s">
        <v>69</v>
      </c>
      <c r="F29" s="9"/>
      <c r="G29" s="9"/>
    </row>
    <row r="30" spans="1:7">
      <c r="A30" s="24" t="s">
        <v>260</v>
      </c>
      <c r="B30" s="24" t="s">
        <v>226</v>
      </c>
      <c r="C30" s="24" t="s">
        <v>53</v>
      </c>
      <c r="D30" s="25" t="s">
        <v>12</v>
      </c>
      <c r="E30" s="25" t="s">
        <v>69</v>
      </c>
      <c r="F30" s="9"/>
      <c r="G30" s="9"/>
    </row>
    <row r="31" spans="1:7">
      <c r="A31" s="24" t="s">
        <v>261</v>
      </c>
      <c r="B31" s="24" t="s">
        <v>116</v>
      </c>
      <c r="C31" s="24" t="s">
        <v>101</v>
      </c>
      <c r="D31" s="25" t="s">
        <v>12</v>
      </c>
      <c r="E31" s="25" t="s">
        <v>69</v>
      </c>
      <c r="F31" s="9"/>
      <c r="G31" s="9"/>
    </row>
    <row r="32" spans="1:7">
      <c r="A32" s="24" t="s">
        <v>262</v>
      </c>
      <c r="B32" s="24" t="s">
        <v>263</v>
      </c>
      <c r="C32" s="24" t="s">
        <v>99</v>
      </c>
      <c r="D32" s="25" t="s">
        <v>12</v>
      </c>
      <c r="E32" s="25" t="s">
        <v>69</v>
      </c>
      <c r="F32" s="9"/>
      <c r="G32" s="9"/>
    </row>
    <row r="33" spans="1:7">
      <c r="A33" s="24" t="s">
        <v>264</v>
      </c>
      <c r="B33" s="24" t="s">
        <v>265</v>
      </c>
      <c r="C33" s="24" t="s">
        <v>53</v>
      </c>
      <c r="D33" s="24" t="s">
        <v>125</v>
      </c>
      <c r="E33" s="24" t="s">
        <v>66</v>
      </c>
      <c r="F33" s="24">
        <v>1</v>
      </c>
      <c r="G33" s="24"/>
    </row>
    <row r="34" spans="1:7">
      <c r="A34" s="24" t="s">
        <v>266</v>
      </c>
      <c r="B34" s="24" t="s">
        <v>267</v>
      </c>
      <c r="C34" s="24" t="s">
        <v>53</v>
      </c>
      <c r="D34" s="24" t="s">
        <v>125</v>
      </c>
      <c r="E34" s="24" t="s">
        <v>66</v>
      </c>
      <c r="F34" s="24">
        <v>1</v>
      </c>
      <c r="G34" s="24"/>
    </row>
    <row r="35" spans="1:7">
      <c r="A35" s="24" t="s">
        <v>268</v>
      </c>
      <c r="B35" s="24" t="s">
        <v>269</v>
      </c>
      <c r="C35" s="24" t="s">
        <v>53</v>
      </c>
      <c r="D35" s="24" t="s">
        <v>125</v>
      </c>
      <c r="E35" s="24" t="s">
        <v>69</v>
      </c>
      <c r="F35" s="24"/>
      <c r="G35" s="24"/>
    </row>
    <row r="36" spans="1:7">
      <c r="A36" s="24" t="s">
        <v>270</v>
      </c>
      <c r="B36" s="24" t="s">
        <v>154</v>
      </c>
      <c r="C36" s="24" t="s">
        <v>53</v>
      </c>
      <c r="D36" s="24" t="s">
        <v>125</v>
      </c>
      <c r="E36" s="24" t="s">
        <v>66</v>
      </c>
      <c r="F36" s="24">
        <v>1</v>
      </c>
      <c r="G36" s="24"/>
    </row>
    <row r="37" spans="1:7">
      <c r="A37" s="24" t="s">
        <v>271</v>
      </c>
      <c r="B37" s="24" t="s">
        <v>154</v>
      </c>
      <c r="C37" s="24" t="s">
        <v>53</v>
      </c>
      <c r="D37" s="24" t="s">
        <v>125</v>
      </c>
      <c r="E37" s="24" t="s">
        <v>69</v>
      </c>
      <c r="F37" s="24"/>
      <c r="G37" s="24"/>
    </row>
    <row r="38" spans="1:7">
      <c r="A38" s="24" t="s">
        <v>272</v>
      </c>
      <c r="B38" s="24" t="s">
        <v>273</v>
      </c>
      <c r="C38" s="24" t="s">
        <v>53</v>
      </c>
      <c r="D38" s="24" t="s">
        <v>125</v>
      </c>
      <c r="E38" s="24" t="s">
        <v>66</v>
      </c>
      <c r="F38" s="24">
        <v>2</v>
      </c>
      <c r="G38" s="24" t="s">
        <v>274</v>
      </c>
    </row>
    <row r="39" spans="1:7">
      <c r="A39" s="24" t="s">
        <v>275</v>
      </c>
      <c r="B39" s="24" t="s">
        <v>221</v>
      </c>
      <c r="C39" s="24" t="s">
        <v>99</v>
      </c>
      <c r="D39" s="24" t="s">
        <v>125</v>
      </c>
      <c r="E39" s="24" t="s">
        <v>69</v>
      </c>
      <c r="F39" s="24"/>
      <c r="G39" s="24"/>
    </row>
    <row r="40" spans="1:7">
      <c r="A40" s="24" t="s">
        <v>276</v>
      </c>
      <c r="B40" s="24" t="s">
        <v>277</v>
      </c>
      <c r="C40" s="24" t="s">
        <v>53</v>
      </c>
      <c r="D40" s="24" t="s">
        <v>125</v>
      </c>
      <c r="E40" s="24" t="s">
        <v>66</v>
      </c>
      <c r="F40" s="24">
        <v>1</v>
      </c>
      <c r="G40" s="24"/>
    </row>
    <row r="41" spans="1:7">
      <c r="A41" s="24" t="s">
        <v>278</v>
      </c>
      <c r="B41" s="24" t="s">
        <v>154</v>
      </c>
      <c r="C41" s="24" t="s">
        <v>53</v>
      </c>
      <c r="D41" s="24" t="s">
        <v>125</v>
      </c>
      <c r="E41" s="24" t="s">
        <v>66</v>
      </c>
      <c r="F41" s="24">
        <v>1</v>
      </c>
      <c r="G41" s="24"/>
    </row>
    <row r="42" spans="1:7">
      <c r="A42" s="24" t="s">
        <v>279</v>
      </c>
      <c r="B42" s="24" t="s">
        <v>265</v>
      </c>
      <c r="C42" s="24" t="s">
        <v>53</v>
      </c>
      <c r="D42" s="24" t="s">
        <v>125</v>
      </c>
      <c r="E42" s="24" t="s">
        <v>66</v>
      </c>
      <c r="F42" s="24">
        <v>4</v>
      </c>
      <c r="G42" s="24" t="s">
        <v>280</v>
      </c>
    </row>
    <row r="43" spans="1:7">
      <c r="A43" s="24" t="s">
        <v>281</v>
      </c>
      <c r="B43" s="24" t="s">
        <v>277</v>
      </c>
      <c r="C43" s="24" t="s">
        <v>53</v>
      </c>
      <c r="D43" s="24" t="s">
        <v>125</v>
      </c>
      <c r="E43" s="24" t="s">
        <v>69</v>
      </c>
      <c r="F43" s="24"/>
      <c r="G43" s="24"/>
    </row>
    <row r="44" spans="1:7">
      <c r="A44" s="24" t="s">
        <v>282</v>
      </c>
      <c r="B44" s="24" t="s">
        <v>283</v>
      </c>
      <c r="C44" s="24" t="s">
        <v>53</v>
      </c>
      <c r="D44" s="24" t="s">
        <v>125</v>
      </c>
      <c r="E44" s="24" t="s">
        <v>66</v>
      </c>
      <c r="F44" s="24">
        <v>1</v>
      </c>
      <c r="G44" s="28"/>
    </row>
    <row r="45" spans="1:7">
      <c r="A45" s="24" t="s">
        <v>284</v>
      </c>
      <c r="B45" s="24" t="s">
        <v>285</v>
      </c>
      <c r="C45" s="24" t="s">
        <v>53</v>
      </c>
      <c r="D45" s="24" t="s">
        <v>125</v>
      </c>
      <c r="E45" s="24" t="s">
        <v>69</v>
      </c>
      <c r="F45" s="24"/>
      <c r="G45" s="24"/>
    </row>
    <row r="46" spans="1:7">
      <c r="A46" s="24" t="s">
        <v>286</v>
      </c>
      <c r="B46" s="24" t="s">
        <v>287</v>
      </c>
      <c r="C46" s="24" t="s">
        <v>99</v>
      </c>
      <c r="D46" s="24" t="s">
        <v>125</v>
      </c>
      <c r="E46" s="24" t="s">
        <v>69</v>
      </c>
      <c r="F46" s="24"/>
      <c r="G46" s="24"/>
    </row>
    <row r="47" spans="1:7">
      <c r="A47" s="28" t="s">
        <v>288</v>
      </c>
      <c r="B47" s="24" t="s">
        <v>154</v>
      </c>
      <c r="C47" s="24" t="s">
        <v>53</v>
      </c>
      <c r="D47" s="24" t="s">
        <v>125</v>
      </c>
      <c r="E47" s="24" t="s">
        <v>69</v>
      </c>
      <c r="F47" s="24"/>
      <c r="G47" s="24"/>
    </row>
    <row r="48" spans="1:7">
      <c r="A48" s="24" t="s">
        <v>289</v>
      </c>
      <c r="B48" s="24" t="s">
        <v>283</v>
      </c>
      <c r="C48" s="24" t="s">
        <v>53</v>
      </c>
      <c r="D48" s="24" t="s">
        <v>125</v>
      </c>
      <c r="E48" s="24" t="s">
        <v>69</v>
      </c>
      <c r="F48" s="24"/>
      <c r="G48" s="24"/>
    </row>
    <row r="49" spans="1:7">
      <c r="A49" s="24" t="s">
        <v>290</v>
      </c>
      <c r="B49" s="24" t="s">
        <v>291</v>
      </c>
      <c r="C49" s="24" t="s">
        <v>53</v>
      </c>
      <c r="D49" s="24" t="s">
        <v>125</v>
      </c>
      <c r="E49" s="24" t="s">
        <v>69</v>
      </c>
      <c r="F49" s="24"/>
      <c r="G49" s="24"/>
    </row>
    <row r="50" spans="1:7">
      <c r="A50" s="24" t="s">
        <v>292</v>
      </c>
      <c r="B50" s="24" t="s">
        <v>267</v>
      </c>
      <c r="C50" s="24" t="s">
        <v>53</v>
      </c>
      <c r="D50" s="24" t="s">
        <v>125</v>
      </c>
      <c r="E50" s="24" t="s">
        <v>69</v>
      </c>
      <c r="F50" s="24"/>
      <c r="G50" s="24"/>
    </row>
    <row r="51" spans="1:7">
      <c r="A51" s="24" t="s">
        <v>293</v>
      </c>
      <c r="B51" s="24" t="s">
        <v>154</v>
      </c>
      <c r="C51" s="24" t="s">
        <v>53</v>
      </c>
      <c r="D51" s="24" t="s">
        <v>125</v>
      </c>
      <c r="E51" s="24" t="s">
        <v>69</v>
      </c>
      <c r="F51" s="24"/>
      <c r="G51" s="24"/>
    </row>
    <row r="52" spans="1:7">
      <c r="A52" s="28" t="s">
        <v>294</v>
      </c>
      <c r="B52" s="24" t="s">
        <v>154</v>
      </c>
      <c r="C52" s="24" t="s">
        <v>53</v>
      </c>
      <c r="D52" s="24" t="s">
        <v>125</v>
      </c>
      <c r="E52" s="24" t="s">
        <v>69</v>
      </c>
      <c r="F52" s="24"/>
      <c r="G52" s="24"/>
    </row>
    <row r="53" spans="1:7">
      <c r="A53" s="24" t="s">
        <v>295</v>
      </c>
      <c r="B53" s="24" t="s">
        <v>154</v>
      </c>
      <c r="C53" s="24" t="s">
        <v>53</v>
      </c>
      <c r="D53" s="24" t="s">
        <v>125</v>
      </c>
      <c r="E53" s="24" t="s">
        <v>69</v>
      </c>
      <c r="F53" s="24"/>
      <c r="G53" s="24"/>
    </row>
    <row r="54" spans="1:7">
      <c r="A54" s="24" t="s">
        <v>296</v>
      </c>
      <c r="B54" s="24" t="s">
        <v>154</v>
      </c>
      <c r="C54" s="24" t="s">
        <v>53</v>
      </c>
      <c r="D54" s="24" t="s">
        <v>125</v>
      </c>
      <c r="E54" s="24" t="s">
        <v>69</v>
      </c>
      <c r="F54" s="24"/>
      <c r="G54" s="24"/>
    </row>
    <row r="55" spans="1:7">
      <c r="A55" s="24" t="s">
        <v>297</v>
      </c>
      <c r="B55" s="24" t="s">
        <v>226</v>
      </c>
      <c r="C55" s="24" t="s">
        <v>101</v>
      </c>
      <c r="D55" s="24" t="s">
        <v>298</v>
      </c>
      <c r="E55" s="24" t="s">
        <v>69</v>
      </c>
      <c r="F55" s="24"/>
      <c r="G55" s="24"/>
    </row>
    <row r="56" spans="1:7">
      <c r="A56" s="24" t="s">
        <v>299</v>
      </c>
      <c r="B56" s="24" t="s">
        <v>116</v>
      </c>
      <c r="C56" s="24" t="s">
        <v>101</v>
      </c>
      <c r="D56" s="24" t="s">
        <v>298</v>
      </c>
      <c r="E56" s="24" t="s">
        <v>69</v>
      </c>
      <c r="F56" s="24"/>
      <c r="G56" s="24"/>
    </row>
    <row r="57" spans="1:7">
      <c r="A57" s="24" t="s">
        <v>300</v>
      </c>
      <c r="B57" s="24" t="s">
        <v>226</v>
      </c>
      <c r="C57" s="24" t="s">
        <v>101</v>
      </c>
      <c r="D57" s="24" t="s">
        <v>301</v>
      </c>
      <c r="E57" s="24" t="s">
        <v>69</v>
      </c>
      <c r="F57" s="24"/>
      <c r="G57" s="24"/>
    </row>
    <row r="58" spans="1:7">
      <c r="A58" s="24" t="s">
        <v>302</v>
      </c>
      <c r="B58" s="24" t="s">
        <v>116</v>
      </c>
      <c r="C58" s="24" t="s">
        <v>101</v>
      </c>
      <c r="D58" s="24" t="s">
        <v>301</v>
      </c>
      <c r="E58" s="24" t="s">
        <v>69</v>
      </c>
      <c r="F58" s="24"/>
      <c r="G58" s="24"/>
    </row>
    <row r="59" spans="1:7">
      <c r="A59" s="24" t="s">
        <v>299</v>
      </c>
      <c r="B59" s="24" t="s">
        <v>116</v>
      </c>
      <c r="C59" s="24" t="s">
        <v>101</v>
      </c>
      <c r="D59" s="24" t="s">
        <v>301</v>
      </c>
      <c r="E59" s="24" t="s">
        <v>69</v>
      </c>
      <c r="F59" s="24"/>
      <c r="G59" s="24"/>
    </row>
    <row r="60" spans="1:7">
      <c r="A60" s="6" t="s">
        <v>84</v>
      </c>
      <c r="B60" s="6"/>
      <c r="C60" s="6"/>
      <c r="D60" s="6"/>
      <c r="E60" s="6">
        <f>COUNTIF(E21:E59,"Y")</f>
        <v>9</v>
      </c>
      <c r="F60" s="6">
        <f>SUM(F21:F59)</f>
        <v>13</v>
      </c>
      <c r="G60" s="6"/>
    </row>
    <row r="62" spans="1:7">
      <c r="A62" s="50" t="s">
        <v>85</v>
      </c>
      <c r="B62" s="50"/>
      <c r="C62" s="50"/>
      <c r="D62" s="50"/>
      <c r="E62" s="50"/>
      <c r="F62" s="50"/>
      <c r="G62" s="50"/>
    </row>
    <row r="63" spans="1:7">
      <c r="A63" s="8" t="s">
        <v>86</v>
      </c>
      <c r="B63" s="8" t="s">
        <v>59</v>
      </c>
      <c r="C63" s="8" t="s">
        <v>51</v>
      </c>
      <c r="D63" s="8" t="s">
        <v>87</v>
      </c>
      <c r="E63" s="8" t="s">
        <v>88</v>
      </c>
      <c r="F63" s="8" t="s">
        <v>89</v>
      </c>
      <c r="G63" s="8" t="s">
        <v>10</v>
      </c>
    </row>
    <row r="64" spans="1:7">
      <c r="A64" s="24" t="s">
        <v>303</v>
      </c>
      <c r="B64" s="24" t="s">
        <v>283</v>
      </c>
      <c r="C64" s="24" t="s">
        <v>53</v>
      </c>
      <c r="D64" s="24" t="s">
        <v>304</v>
      </c>
      <c r="E64" s="24"/>
      <c r="F64" s="24">
        <v>1</v>
      </c>
      <c r="G64" s="27"/>
    </row>
    <row r="65" spans="1:7">
      <c r="A65" s="24" t="s">
        <v>305</v>
      </c>
      <c r="B65" s="24" t="s">
        <v>265</v>
      </c>
      <c r="C65" s="24" t="s">
        <v>53</v>
      </c>
      <c r="D65" s="24" t="s">
        <v>306</v>
      </c>
      <c r="E65" s="24"/>
      <c r="F65" s="24">
        <v>1</v>
      </c>
      <c r="G65" s="9"/>
    </row>
    <row r="66" spans="1:7">
      <c r="A66" s="24" t="s">
        <v>307</v>
      </c>
      <c r="B66" s="24" t="s">
        <v>267</v>
      </c>
      <c r="C66" s="24" t="s">
        <v>53</v>
      </c>
      <c r="D66" s="24" t="s">
        <v>308</v>
      </c>
      <c r="E66" s="24"/>
      <c r="F66" s="24">
        <v>1</v>
      </c>
      <c r="G66" s="9"/>
    </row>
    <row r="67" spans="1:7">
      <c r="A67" s="24" t="s">
        <v>309</v>
      </c>
      <c r="B67" s="24" t="s">
        <v>154</v>
      </c>
      <c r="C67" s="24" t="s">
        <v>53</v>
      </c>
      <c r="D67" s="24" t="s">
        <v>310</v>
      </c>
      <c r="E67" s="24"/>
      <c r="F67" s="24">
        <v>1</v>
      </c>
      <c r="G67" s="9"/>
    </row>
    <row r="68" spans="1:7">
      <c r="A68" s="24" t="s">
        <v>311</v>
      </c>
      <c r="B68" s="24" t="s">
        <v>273</v>
      </c>
      <c r="C68" s="24" t="s">
        <v>53</v>
      </c>
      <c r="D68" s="24" t="s">
        <v>312</v>
      </c>
      <c r="E68" s="24"/>
      <c r="F68" s="24">
        <v>2</v>
      </c>
      <c r="G68" s="24" t="s">
        <v>274</v>
      </c>
    </row>
    <row r="69" spans="1:7">
      <c r="A69" s="24" t="s">
        <v>313</v>
      </c>
      <c r="B69" s="24" t="s">
        <v>277</v>
      </c>
      <c r="C69" s="24" t="s">
        <v>53</v>
      </c>
      <c r="D69" s="24" t="s">
        <v>314</v>
      </c>
      <c r="E69" s="24"/>
      <c r="F69" s="24">
        <v>1</v>
      </c>
      <c r="G69" s="24"/>
    </row>
    <row r="70" spans="1:7">
      <c r="A70" s="24" t="s">
        <v>315</v>
      </c>
      <c r="B70" s="24" t="s">
        <v>154</v>
      </c>
      <c r="C70" s="24" t="s">
        <v>53</v>
      </c>
      <c r="D70" s="24" t="s">
        <v>316</v>
      </c>
      <c r="E70" s="24"/>
      <c r="F70" s="24">
        <v>1</v>
      </c>
      <c r="G70" s="24"/>
    </row>
    <row r="71" spans="1:7">
      <c r="A71" s="24" t="s">
        <v>317</v>
      </c>
      <c r="B71" s="24" t="s">
        <v>265</v>
      </c>
      <c r="C71" s="24" t="s">
        <v>53</v>
      </c>
      <c r="D71" s="24" t="s">
        <v>318</v>
      </c>
      <c r="E71" s="24"/>
      <c r="F71" s="24">
        <v>4</v>
      </c>
      <c r="G71" s="24" t="s">
        <v>280</v>
      </c>
    </row>
    <row r="72" spans="1:7">
      <c r="A72" s="9"/>
      <c r="B72" s="9"/>
      <c r="C72" s="9"/>
      <c r="D72" s="9"/>
      <c r="E72" s="9"/>
      <c r="F72" s="9"/>
      <c r="G72" s="9"/>
    </row>
    <row r="73" spans="1:7">
      <c r="A73" s="9"/>
      <c r="B73" s="9"/>
      <c r="C73" s="9"/>
      <c r="D73" s="9"/>
      <c r="E73" s="9"/>
      <c r="F73" s="9"/>
      <c r="G73" s="9"/>
    </row>
    <row r="74" spans="1:7">
      <c r="A74" s="9"/>
      <c r="B74" s="9"/>
      <c r="C74" s="9"/>
      <c r="D74" s="9"/>
      <c r="E74" s="9"/>
      <c r="F74" s="9"/>
      <c r="G74" s="9"/>
    </row>
    <row r="75" spans="1:7">
      <c r="A75" s="9"/>
      <c r="B75" s="9"/>
      <c r="C75" s="9"/>
      <c r="D75" s="9"/>
      <c r="E75" s="9"/>
      <c r="F75" s="9"/>
      <c r="G75" s="9"/>
    </row>
    <row r="76" spans="1:7">
      <c r="A76" s="9"/>
      <c r="B76" s="9"/>
      <c r="C76" s="9"/>
      <c r="D76" s="9"/>
      <c r="E76" s="9"/>
      <c r="F76" s="9"/>
      <c r="G76" s="9"/>
    </row>
    <row r="77" spans="1:7">
      <c r="A77" s="9"/>
      <c r="B77" s="9"/>
      <c r="C77" s="9"/>
      <c r="D77" s="9"/>
      <c r="E77" s="9"/>
      <c r="F77" s="9"/>
      <c r="G77" s="9"/>
    </row>
    <row r="79" spans="1:7">
      <c r="A79" s="46" t="s">
        <v>92</v>
      </c>
      <c r="B79" s="46"/>
      <c r="C79" s="6">
        <f>COUNTA(A64:A77)</f>
        <v>8</v>
      </c>
      <c r="D79" s="7"/>
      <c r="E79" s="7"/>
      <c r="F79" s="7"/>
      <c r="G79" s="7"/>
    </row>
    <row r="80" spans="1:7">
      <c r="A80" s="46" t="s">
        <v>93</v>
      </c>
      <c r="B80" s="46"/>
      <c r="C80" s="6">
        <f>COUNTIF(F64:F77,1)</f>
        <v>6</v>
      </c>
      <c r="D80" s="7"/>
      <c r="E80" s="7"/>
      <c r="F80" s="7"/>
      <c r="G80" s="7"/>
    </row>
    <row r="81" spans="1:7">
      <c r="A81" s="46" t="s">
        <v>94</v>
      </c>
      <c r="B81" s="46"/>
      <c r="C81" s="6">
        <f>C79-C80</f>
        <v>2</v>
      </c>
      <c r="D81" s="7"/>
      <c r="E81" s="7"/>
      <c r="F81" s="7"/>
      <c r="G81" s="7"/>
    </row>
    <row r="83" spans="1:7">
      <c r="A83" s="50" t="s">
        <v>95</v>
      </c>
      <c r="B83" s="50"/>
      <c r="C83" s="50"/>
      <c r="D83" s="50"/>
      <c r="E83" s="50"/>
      <c r="F83" s="50"/>
      <c r="G83" s="50"/>
    </row>
    <row r="84" spans="1:7">
      <c r="A84" s="10" t="s">
        <v>96</v>
      </c>
    </row>
    <row r="85" spans="1:7">
      <c r="A85" s="8" t="s">
        <v>59</v>
      </c>
      <c r="B85" s="8" t="s">
        <v>51</v>
      </c>
      <c r="C85" s="8" t="s">
        <v>10</v>
      </c>
      <c r="D85" s="8"/>
      <c r="E85" s="8"/>
      <c r="F85" s="8"/>
      <c r="G85" s="8"/>
    </row>
    <row r="86" spans="1:7">
      <c r="A86" s="25" t="s">
        <v>247</v>
      </c>
      <c r="B86" s="25" t="s">
        <v>53</v>
      </c>
      <c r="C86" s="9"/>
    </row>
    <row r="87" spans="1:7">
      <c r="A87" s="25" t="s">
        <v>249</v>
      </c>
      <c r="B87" s="25" t="s">
        <v>101</v>
      </c>
      <c r="C87" s="9"/>
    </row>
    <row r="88" spans="1:7">
      <c r="A88" s="25" t="s">
        <v>105</v>
      </c>
      <c r="B88" s="25" t="s">
        <v>99</v>
      </c>
      <c r="C88" s="9"/>
    </row>
    <row r="89" spans="1:7">
      <c r="A89" s="25" t="s">
        <v>116</v>
      </c>
      <c r="B89" s="25" t="s">
        <v>101</v>
      </c>
      <c r="C89" s="9"/>
    </row>
    <row r="90" spans="1:7">
      <c r="A90" s="24" t="s">
        <v>131</v>
      </c>
      <c r="B90" s="24" t="s">
        <v>54</v>
      </c>
      <c r="C90" s="9"/>
    </row>
    <row r="91" spans="1:7">
      <c r="A91" s="24" t="s">
        <v>254</v>
      </c>
      <c r="B91" s="24" t="s">
        <v>53</v>
      </c>
      <c r="C91" s="9"/>
    </row>
    <row r="92" spans="1:7">
      <c r="A92" s="24" t="s">
        <v>257</v>
      </c>
      <c r="B92" s="24" t="s">
        <v>99</v>
      </c>
      <c r="C92" s="9"/>
    </row>
    <row r="93" spans="1:7">
      <c r="A93" s="24" t="s">
        <v>259</v>
      </c>
      <c r="B93" s="24" t="s">
        <v>54</v>
      </c>
      <c r="C93" s="9"/>
    </row>
    <row r="94" spans="1:7">
      <c r="A94" s="24" t="s">
        <v>226</v>
      </c>
      <c r="B94" s="24" t="s">
        <v>53</v>
      </c>
      <c r="C94" s="9"/>
    </row>
    <row r="95" spans="1:7">
      <c r="A95" s="24" t="s">
        <v>263</v>
      </c>
      <c r="B95" s="24" t="s">
        <v>99</v>
      </c>
      <c r="C95" s="9"/>
    </row>
    <row r="97" spans="1:7">
      <c r="A97" s="10" t="s">
        <v>179</v>
      </c>
    </row>
    <row r="98" spans="1:7">
      <c r="A98" s="8" t="s">
        <v>59</v>
      </c>
      <c r="B98" s="8" t="s">
        <v>51</v>
      </c>
      <c r="C98" s="8" t="s">
        <v>10</v>
      </c>
      <c r="D98" s="8"/>
      <c r="E98" s="8"/>
      <c r="F98" s="8"/>
      <c r="G98" s="8"/>
    </row>
    <row r="99" spans="1:7">
      <c r="A99" s="24" t="s">
        <v>283</v>
      </c>
      <c r="B99" s="24" t="s">
        <v>53</v>
      </c>
      <c r="C99" s="9"/>
    </row>
    <row r="100" spans="1:7">
      <c r="A100" s="24" t="s">
        <v>265</v>
      </c>
      <c r="B100" s="24" t="s">
        <v>53</v>
      </c>
      <c r="C100" s="9"/>
    </row>
    <row r="101" spans="1:7">
      <c r="A101" s="24" t="s">
        <v>267</v>
      </c>
      <c r="B101" s="24" t="s">
        <v>53</v>
      </c>
      <c r="C101" s="9"/>
    </row>
    <row r="102" spans="1:7">
      <c r="A102" s="24" t="s">
        <v>269</v>
      </c>
      <c r="B102" s="24" t="s">
        <v>53</v>
      </c>
      <c r="C102" s="9"/>
    </row>
    <row r="103" spans="1:7">
      <c r="A103" s="24" t="s">
        <v>273</v>
      </c>
      <c r="B103" s="24" t="s">
        <v>53</v>
      </c>
      <c r="C103" s="9"/>
    </row>
    <row r="104" spans="1:7">
      <c r="A104" s="24" t="s">
        <v>277</v>
      </c>
      <c r="B104" s="24" t="s">
        <v>53</v>
      </c>
      <c r="C104" s="9"/>
    </row>
    <row r="105" spans="1:7">
      <c r="A105" s="24" t="s">
        <v>154</v>
      </c>
      <c r="B105" s="24" t="s">
        <v>53</v>
      </c>
      <c r="C105" s="9"/>
    </row>
    <row r="106" spans="1:7">
      <c r="A106" s="24" t="s">
        <v>291</v>
      </c>
      <c r="B106" s="24" t="s">
        <v>53</v>
      </c>
      <c r="C106" s="9"/>
    </row>
    <row r="107" spans="1:7">
      <c r="A107" s="24" t="s">
        <v>285</v>
      </c>
      <c r="B107" s="24" t="s">
        <v>53</v>
      </c>
      <c r="C107" s="9"/>
    </row>
    <row r="108" spans="1:7">
      <c r="A108" s="24" t="s">
        <v>287</v>
      </c>
      <c r="B108" s="24" t="s">
        <v>99</v>
      </c>
      <c r="C108" s="9"/>
    </row>
    <row r="109" spans="1:7">
      <c r="A109" s="24" t="s">
        <v>221</v>
      </c>
      <c r="B109" s="24" t="s">
        <v>99</v>
      </c>
      <c r="C109" s="9"/>
    </row>
    <row r="110" spans="1:7">
      <c r="A110" s="9"/>
      <c r="B110" s="9"/>
      <c r="C110" s="9"/>
    </row>
    <row r="111" spans="1:7">
      <c r="A111" s="9"/>
      <c r="B111" s="9"/>
      <c r="C111" s="9"/>
    </row>
    <row r="112" spans="1:7">
      <c r="A112" s="9"/>
      <c r="B112" s="9"/>
      <c r="C112" s="9"/>
    </row>
    <row r="113" spans="1:7">
      <c r="A113" s="9"/>
      <c r="B113" s="9"/>
      <c r="C113" s="9"/>
    </row>
    <row r="114" spans="1:7">
      <c r="A114" s="9"/>
      <c r="B114" s="9"/>
      <c r="C114" s="9"/>
    </row>
    <row r="115" spans="1:7">
      <c r="A115" s="9"/>
      <c r="B115" s="9"/>
      <c r="C115" s="9"/>
    </row>
    <row r="117" spans="1:7">
      <c r="A117" s="6" t="s">
        <v>97</v>
      </c>
      <c r="B117" s="6">
        <v>21</v>
      </c>
      <c r="C117" s="6"/>
      <c r="D117" s="6"/>
      <c r="E117" s="6"/>
      <c r="F117" s="6"/>
      <c r="G117" s="6"/>
    </row>
    <row r="119" spans="1:7">
      <c r="A119" s="50" t="s">
        <v>180</v>
      </c>
      <c r="B119" s="51"/>
      <c r="C119" s="51"/>
      <c r="D119" s="51"/>
      <c r="E119" s="51"/>
      <c r="F119" s="51"/>
      <c r="G119" s="51"/>
    </row>
    <row r="120" spans="1:7">
      <c r="A120" s="8" t="s">
        <v>181</v>
      </c>
      <c r="B120" s="8" t="s">
        <v>86</v>
      </c>
      <c r="C120" s="8" t="s">
        <v>59</v>
      </c>
      <c r="D120" s="8" t="s">
        <v>51</v>
      </c>
      <c r="E120" s="8" t="s">
        <v>88</v>
      </c>
      <c r="F120" s="8" t="s">
        <v>182</v>
      </c>
      <c r="G120" s="8" t="s">
        <v>10</v>
      </c>
    </row>
    <row r="121" spans="1:7">
      <c r="A121" s="24" t="s">
        <v>242</v>
      </c>
      <c r="B121" s="24" t="s">
        <v>319</v>
      </c>
      <c r="C121" s="24" t="s">
        <v>265</v>
      </c>
      <c r="D121" s="24" t="s">
        <v>53</v>
      </c>
      <c r="E121" s="29">
        <v>45338</v>
      </c>
      <c r="F121" s="24" t="s">
        <v>91</v>
      </c>
      <c r="G121" s="9"/>
    </row>
    <row r="122" spans="1:7">
      <c r="A122" s="24" t="s">
        <v>242</v>
      </c>
      <c r="B122" s="24" t="s">
        <v>315</v>
      </c>
      <c r="C122" s="24" t="s">
        <v>154</v>
      </c>
      <c r="D122" s="24" t="s">
        <v>53</v>
      </c>
      <c r="E122" s="29">
        <v>45338</v>
      </c>
      <c r="F122" s="24" t="s">
        <v>320</v>
      </c>
      <c r="G122" s="9"/>
    </row>
    <row r="123" spans="1:7">
      <c r="A123" s="24" t="s">
        <v>185</v>
      </c>
      <c r="B123" s="24" t="s">
        <v>319</v>
      </c>
      <c r="C123" s="24" t="s">
        <v>265</v>
      </c>
      <c r="D123" s="24" t="s">
        <v>53</v>
      </c>
      <c r="E123" s="29">
        <v>45324</v>
      </c>
      <c r="F123" s="24" t="s">
        <v>91</v>
      </c>
      <c r="G123" s="9"/>
    </row>
    <row r="124" spans="1:7">
      <c r="A124" s="24" t="s">
        <v>185</v>
      </c>
      <c r="B124" s="24" t="s">
        <v>315</v>
      </c>
      <c r="C124" s="24" t="s">
        <v>154</v>
      </c>
      <c r="D124" s="24" t="s">
        <v>53</v>
      </c>
      <c r="E124" s="29">
        <v>45324</v>
      </c>
      <c r="F124" s="24" t="s">
        <v>320</v>
      </c>
      <c r="G124" s="9"/>
    </row>
    <row r="125" spans="1:7">
      <c r="A125" s="24" t="s">
        <v>185</v>
      </c>
      <c r="B125" s="24" t="s">
        <v>321</v>
      </c>
      <c r="C125" s="24" t="s">
        <v>226</v>
      </c>
      <c r="D125" s="24" t="s">
        <v>101</v>
      </c>
      <c r="E125" s="29">
        <v>45324</v>
      </c>
      <c r="F125" s="24" t="s">
        <v>322</v>
      </c>
      <c r="G125" s="9"/>
    </row>
    <row r="126" spans="1:7">
      <c r="A126" s="24" t="s">
        <v>185</v>
      </c>
      <c r="B126" s="24" t="s">
        <v>323</v>
      </c>
      <c r="C126" s="24" t="s">
        <v>116</v>
      </c>
      <c r="D126" s="24" t="s">
        <v>101</v>
      </c>
      <c r="E126" s="29">
        <v>45324</v>
      </c>
      <c r="F126" s="24" t="s">
        <v>324</v>
      </c>
      <c r="G126" s="9"/>
    </row>
    <row r="127" spans="1:7">
      <c r="A127" s="24" t="s">
        <v>186</v>
      </c>
      <c r="B127" s="24" t="s">
        <v>319</v>
      </c>
      <c r="C127" s="24" t="s">
        <v>265</v>
      </c>
      <c r="D127" s="24" t="s">
        <v>53</v>
      </c>
      <c r="E127" s="29">
        <v>45359</v>
      </c>
      <c r="F127" s="24" t="s">
        <v>91</v>
      </c>
      <c r="G127" s="9"/>
    </row>
    <row r="128" spans="1:7">
      <c r="A128" s="24" t="s">
        <v>186</v>
      </c>
      <c r="B128" s="24" t="s">
        <v>325</v>
      </c>
      <c r="C128" s="24" t="s">
        <v>226</v>
      </c>
      <c r="D128" s="24" t="s">
        <v>101</v>
      </c>
      <c r="E128" s="29">
        <v>45359</v>
      </c>
      <c r="F128" s="24" t="s">
        <v>326</v>
      </c>
      <c r="G128" s="9"/>
    </row>
    <row r="129" spans="1:7">
      <c r="A129" s="24" t="s">
        <v>186</v>
      </c>
      <c r="B129" s="24" t="s">
        <v>315</v>
      </c>
      <c r="C129" s="24" t="s">
        <v>154</v>
      </c>
      <c r="D129" s="24" t="s">
        <v>53</v>
      </c>
      <c r="E129" s="29">
        <v>45359</v>
      </c>
      <c r="F129" s="24" t="s">
        <v>322</v>
      </c>
      <c r="G129" s="9"/>
    </row>
    <row r="130" spans="1:7">
      <c r="A130" s="24" t="s">
        <v>186</v>
      </c>
      <c r="B130" s="24" t="s">
        <v>327</v>
      </c>
      <c r="C130" s="24" t="s">
        <v>116</v>
      </c>
      <c r="D130" s="24" t="s">
        <v>101</v>
      </c>
      <c r="E130" s="29">
        <v>45359</v>
      </c>
      <c r="F130" s="24" t="s">
        <v>328</v>
      </c>
      <c r="G130" s="9"/>
    </row>
    <row r="131" spans="1:7">
      <c r="A131" s="24" t="s">
        <v>186</v>
      </c>
      <c r="B131" s="24" t="s">
        <v>323</v>
      </c>
      <c r="C131" s="24" t="s">
        <v>116</v>
      </c>
      <c r="D131" s="24" t="s">
        <v>101</v>
      </c>
      <c r="E131" s="29">
        <v>45359</v>
      </c>
      <c r="F131" s="24" t="s">
        <v>329</v>
      </c>
      <c r="G131" s="9"/>
    </row>
  </sheetData>
  <mergeCells count="9">
    <mergeCell ref="A119:G119"/>
    <mergeCell ref="A80:B80"/>
    <mergeCell ref="A81:B81"/>
    <mergeCell ref="A83:G83"/>
    <mergeCell ref="A1:G1"/>
    <mergeCell ref="A4:G4"/>
    <mergeCell ref="A19:G19"/>
    <mergeCell ref="A62:G62"/>
    <mergeCell ref="A79:B7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9800"/>
  </sheetPr>
  <dimension ref="A1:G136"/>
  <sheetViews>
    <sheetView topLeftCell="A111" zoomScaleNormal="100" workbookViewId="0">
      <selection activeCell="A135" sqref="A135"/>
    </sheetView>
  </sheetViews>
  <sheetFormatPr defaultColWidth="8.7109375" defaultRowHeight="14.45"/>
  <cols>
    <col min="1" max="1" width="57.140625" bestFit="1" customWidth="1"/>
    <col min="2" max="2" width="26.28515625" bestFit="1" customWidth="1"/>
    <col min="3" max="3" width="16" customWidth="1"/>
    <col min="4" max="4" width="35.28515625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330</v>
      </c>
      <c r="B1" s="48"/>
      <c r="C1" s="48"/>
      <c r="D1" s="48"/>
      <c r="E1" s="48"/>
      <c r="F1" s="48"/>
      <c r="G1" s="48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3" t="s">
        <v>12</v>
      </c>
      <c r="B6" s="3" t="s">
        <v>53</v>
      </c>
      <c r="C6" s="3">
        <v>3</v>
      </c>
      <c r="D6" s="3"/>
      <c r="E6" s="3"/>
      <c r="F6" s="3"/>
      <c r="G6" s="3"/>
    </row>
    <row r="7" spans="1:7">
      <c r="A7" s="3" t="s">
        <v>12</v>
      </c>
      <c r="B7" s="3" t="s">
        <v>54</v>
      </c>
      <c r="C7" s="3">
        <v>2</v>
      </c>
      <c r="D7" s="3"/>
      <c r="E7" s="3"/>
      <c r="F7" s="3"/>
      <c r="G7" s="3"/>
    </row>
    <row r="8" spans="1:7">
      <c r="A8" s="3" t="s">
        <v>12</v>
      </c>
      <c r="B8" s="3" t="s">
        <v>100</v>
      </c>
      <c r="C8" s="3">
        <v>2</v>
      </c>
      <c r="D8" s="3"/>
      <c r="E8" s="3"/>
      <c r="F8" s="3"/>
      <c r="G8" s="3"/>
    </row>
    <row r="9" spans="1:7">
      <c r="A9" s="3" t="s">
        <v>12</v>
      </c>
      <c r="B9" s="3" t="s">
        <v>101</v>
      </c>
      <c r="C9" s="3">
        <v>1</v>
      </c>
      <c r="D9" s="3"/>
      <c r="E9" s="3"/>
      <c r="F9" s="3"/>
      <c r="G9" s="3"/>
    </row>
    <row r="10" spans="1:7">
      <c r="A10" s="3" t="s">
        <v>12</v>
      </c>
      <c r="B10" s="3" t="s">
        <v>99</v>
      </c>
      <c r="C10" s="3">
        <v>1</v>
      </c>
      <c r="D10" s="3"/>
      <c r="E10" s="3"/>
      <c r="F10" s="3"/>
      <c r="G10" s="3"/>
    </row>
    <row r="11" spans="1:7">
      <c r="A11" s="3" t="s">
        <v>125</v>
      </c>
      <c r="B11" s="3" t="s">
        <v>53</v>
      </c>
      <c r="C11" s="3">
        <v>26</v>
      </c>
      <c r="D11" s="3"/>
      <c r="E11" s="3"/>
      <c r="F11" s="3"/>
      <c r="G11" s="3"/>
    </row>
    <row r="12" spans="1:7">
      <c r="A12" s="3" t="s">
        <v>125</v>
      </c>
      <c r="B12" s="3" t="s">
        <v>99</v>
      </c>
      <c r="C12" s="3">
        <v>1</v>
      </c>
      <c r="D12" s="3"/>
      <c r="E12" s="3"/>
      <c r="F12" s="3"/>
      <c r="G12" s="3"/>
    </row>
    <row r="13" spans="1:7">
      <c r="A13" s="3" t="s">
        <v>185</v>
      </c>
      <c r="B13" s="3" t="s">
        <v>101</v>
      </c>
      <c r="C13" s="3">
        <v>1</v>
      </c>
      <c r="D13" s="3"/>
      <c r="E13" s="3"/>
      <c r="F13" s="3"/>
      <c r="G13" s="3"/>
    </row>
    <row r="14" spans="1:7">
      <c r="A14" s="3" t="s">
        <v>242</v>
      </c>
      <c r="B14" s="3" t="s">
        <v>101</v>
      </c>
      <c r="C14" s="3">
        <v>1</v>
      </c>
      <c r="D14" s="3"/>
      <c r="E14" s="3"/>
      <c r="F14" s="3"/>
      <c r="G14" s="3"/>
    </row>
    <row r="15" spans="1:7">
      <c r="A15" s="3" t="s">
        <v>186</v>
      </c>
      <c r="B15" s="3" t="s">
        <v>101</v>
      </c>
      <c r="C15" s="3">
        <v>3</v>
      </c>
      <c r="D15" s="3"/>
      <c r="E15" s="3"/>
      <c r="F15" s="3"/>
      <c r="G15" s="3"/>
    </row>
    <row r="16" spans="1:7">
      <c r="A16" s="3" t="s">
        <v>186</v>
      </c>
      <c r="B16" s="3" t="s">
        <v>331</v>
      </c>
      <c r="C16" s="3">
        <v>2</v>
      </c>
      <c r="D16" s="3"/>
      <c r="E16" s="3"/>
      <c r="F16" s="3"/>
      <c r="G16" s="3"/>
    </row>
    <row r="17" spans="1:7">
      <c r="A17" s="3" t="s">
        <v>186</v>
      </c>
      <c r="B17" s="3" t="s">
        <v>53</v>
      </c>
      <c r="C17" s="3">
        <v>1</v>
      </c>
      <c r="D17" s="3"/>
      <c r="E17" s="3"/>
      <c r="F17" s="3"/>
      <c r="G17" s="3"/>
    </row>
    <row r="18" spans="1:7">
      <c r="A18" s="4"/>
      <c r="B18" s="4"/>
      <c r="C18" s="4"/>
      <c r="D18" s="4"/>
    </row>
    <row r="19" spans="1:7">
      <c r="A19" s="4"/>
      <c r="B19" s="4"/>
      <c r="C19" s="4"/>
      <c r="D19" s="4"/>
    </row>
    <row r="20" spans="1:7">
      <c r="A20" s="4"/>
      <c r="B20" s="4"/>
      <c r="C20" s="4"/>
      <c r="D20" s="4"/>
    </row>
    <row r="21" spans="1:7">
      <c r="A21" s="6" t="s">
        <v>56</v>
      </c>
      <c r="B21" s="6"/>
      <c r="C21" s="6">
        <f>SUM(C6:C20)</f>
        <v>44</v>
      </c>
      <c r="D21" s="6"/>
      <c r="E21" s="6"/>
      <c r="F21" s="6"/>
      <c r="G21" s="6"/>
    </row>
    <row r="23" spans="1:7">
      <c r="A23" s="50" t="s">
        <v>57</v>
      </c>
      <c r="B23" s="50"/>
      <c r="C23" s="50"/>
      <c r="D23" s="50"/>
      <c r="E23" s="50"/>
      <c r="F23" s="50"/>
      <c r="G23" s="50"/>
    </row>
    <row r="24" spans="1:7">
      <c r="A24" s="8" t="s">
        <v>58</v>
      </c>
      <c r="B24" s="8" t="s">
        <v>59</v>
      </c>
      <c r="C24" s="8" t="s">
        <v>51</v>
      </c>
      <c r="D24" s="8" t="s">
        <v>50</v>
      </c>
      <c r="E24" s="8" t="s">
        <v>60</v>
      </c>
      <c r="F24" s="8" t="s">
        <v>61</v>
      </c>
      <c r="G24" s="8" t="s">
        <v>10</v>
      </c>
    </row>
    <row r="25" spans="1:7">
      <c r="A25" s="21" t="s">
        <v>246</v>
      </c>
      <c r="B25" s="21" t="s">
        <v>332</v>
      </c>
      <c r="C25" s="21" t="s">
        <v>53</v>
      </c>
      <c r="D25" s="21" t="s">
        <v>96</v>
      </c>
      <c r="E25" s="21" t="s">
        <v>66</v>
      </c>
      <c r="F25" s="21">
        <v>1</v>
      </c>
      <c r="G25" s="21"/>
    </row>
    <row r="26" spans="1:7">
      <c r="A26" s="21" t="s">
        <v>333</v>
      </c>
      <c r="B26" s="21" t="s">
        <v>334</v>
      </c>
      <c r="C26" s="21" t="s">
        <v>53</v>
      </c>
      <c r="D26" s="21" t="s">
        <v>96</v>
      </c>
      <c r="E26" s="21" t="s">
        <v>69</v>
      </c>
      <c r="F26" s="21"/>
      <c r="G26" s="21"/>
    </row>
    <row r="27" spans="1:7">
      <c r="A27" s="21" t="s">
        <v>335</v>
      </c>
      <c r="B27" s="21" t="s">
        <v>336</v>
      </c>
      <c r="C27" s="21" t="s">
        <v>53</v>
      </c>
      <c r="D27" s="21" t="s">
        <v>96</v>
      </c>
      <c r="E27" s="21" t="s">
        <v>69</v>
      </c>
      <c r="F27" s="21"/>
      <c r="G27" s="21"/>
    </row>
    <row r="28" spans="1:7">
      <c r="A28" s="21" t="s">
        <v>337</v>
      </c>
      <c r="B28" s="21" t="s">
        <v>338</v>
      </c>
      <c r="C28" s="21" t="s">
        <v>54</v>
      </c>
      <c r="D28" s="21" t="s">
        <v>96</v>
      </c>
      <c r="E28" s="21" t="s">
        <v>69</v>
      </c>
      <c r="F28" s="21"/>
      <c r="G28" s="21"/>
    </row>
    <row r="29" spans="1:7">
      <c r="A29" s="21" t="s">
        <v>339</v>
      </c>
      <c r="B29" s="21" t="s">
        <v>340</v>
      </c>
      <c r="C29" s="21" t="s">
        <v>100</v>
      </c>
      <c r="D29" s="21" t="s">
        <v>96</v>
      </c>
      <c r="E29" s="21" t="s">
        <v>69</v>
      </c>
      <c r="F29" s="21"/>
      <c r="G29" s="21"/>
    </row>
    <row r="30" spans="1:7">
      <c r="A30" s="21" t="s">
        <v>250</v>
      </c>
      <c r="B30" s="21" t="s">
        <v>105</v>
      </c>
      <c r="C30" s="21" t="s">
        <v>99</v>
      </c>
      <c r="D30" s="21" t="s">
        <v>96</v>
      </c>
      <c r="E30" s="21" t="s">
        <v>69</v>
      </c>
      <c r="F30" s="21"/>
      <c r="G30" s="21"/>
    </row>
    <row r="31" spans="1:7">
      <c r="A31" s="21" t="s">
        <v>341</v>
      </c>
      <c r="B31" s="21" t="s">
        <v>340</v>
      </c>
      <c r="C31" s="21" t="s">
        <v>100</v>
      </c>
      <c r="D31" s="21" t="s">
        <v>96</v>
      </c>
      <c r="E31" s="21" t="s">
        <v>69</v>
      </c>
      <c r="F31" s="21"/>
      <c r="G31" s="21"/>
    </row>
    <row r="32" spans="1:7">
      <c r="A32" s="21" t="s">
        <v>255</v>
      </c>
      <c r="B32" s="21" t="s">
        <v>226</v>
      </c>
      <c r="C32" s="21" t="s">
        <v>101</v>
      </c>
      <c r="D32" s="21" t="s">
        <v>96</v>
      </c>
      <c r="E32" s="21" t="s">
        <v>69</v>
      </c>
      <c r="F32" s="21"/>
      <c r="G32" s="21"/>
    </row>
    <row r="33" spans="1:7">
      <c r="A33" s="21" t="s">
        <v>342</v>
      </c>
      <c r="B33" s="21" t="s">
        <v>343</v>
      </c>
      <c r="C33" s="21" t="s">
        <v>54</v>
      </c>
      <c r="D33" s="21" t="s">
        <v>96</v>
      </c>
      <c r="E33" s="21" t="s">
        <v>69</v>
      </c>
      <c r="F33" s="21"/>
      <c r="G33" s="21"/>
    </row>
    <row r="34" spans="1:7">
      <c r="A34" s="21" t="s">
        <v>344</v>
      </c>
      <c r="B34" s="21" t="s">
        <v>345</v>
      </c>
      <c r="C34" s="21" t="s">
        <v>53</v>
      </c>
      <c r="D34" s="21" t="s">
        <v>179</v>
      </c>
      <c r="E34" s="21" t="s">
        <v>69</v>
      </c>
      <c r="F34" s="21"/>
      <c r="G34" s="21"/>
    </row>
    <row r="35" spans="1:7">
      <c r="A35" s="21" t="s">
        <v>296</v>
      </c>
      <c r="B35" s="21" t="s">
        <v>154</v>
      </c>
      <c r="C35" s="21" t="s">
        <v>53</v>
      </c>
      <c r="D35" s="21" t="s">
        <v>179</v>
      </c>
      <c r="E35" s="21" t="s">
        <v>69</v>
      </c>
      <c r="F35" s="21"/>
      <c r="G35" s="21"/>
    </row>
    <row r="36" spans="1:7">
      <c r="A36" s="21" t="s">
        <v>346</v>
      </c>
      <c r="B36" s="21" t="s">
        <v>347</v>
      </c>
      <c r="C36" s="21" t="s">
        <v>99</v>
      </c>
      <c r="D36" s="21" t="s">
        <v>179</v>
      </c>
      <c r="E36" s="21" t="s">
        <v>66</v>
      </c>
      <c r="F36" s="21">
        <v>1</v>
      </c>
      <c r="G36" s="21"/>
    </row>
    <row r="37" spans="1:7">
      <c r="A37" s="21" t="s">
        <v>281</v>
      </c>
      <c r="B37" s="21" t="s">
        <v>277</v>
      </c>
      <c r="C37" s="21" t="s">
        <v>53</v>
      </c>
      <c r="D37" s="21" t="s">
        <v>179</v>
      </c>
      <c r="E37" s="21" t="s">
        <v>69</v>
      </c>
      <c r="F37" s="21"/>
      <c r="G37" s="21"/>
    </row>
    <row r="38" spans="1:7">
      <c r="A38" s="21" t="s">
        <v>348</v>
      </c>
      <c r="B38" s="21" t="s">
        <v>291</v>
      </c>
      <c r="C38" s="21" t="s">
        <v>53</v>
      </c>
      <c r="D38" s="21" t="s">
        <v>179</v>
      </c>
      <c r="E38" s="21" t="s">
        <v>69</v>
      </c>
      <c r="F38" s="21"/>
      <c r="G38" s="21"/>
    </row>
    <row r="39" spans="1:7">
      <c r="A39" s="21" t="s">
        <v>349</v>
      </c>
      <c r="B39" s="21" t="s">
        <v>350</v>
      </c>
      <c r="C39" s="21" t="s">
        <v>53</v>
      </c>
      <c r="D39" s="21" t="s">
        <v>179</v>
      </c>
      <c r="E39" s="21" t="s">
        <v>66</v>
      </c>
      <c r="F39" s="21">
        <v>1</v>
      </c>
      <c r="G39" s="21"/>
    </row>
    <row r="40" spans="1:7">
      <c r="A40" s="21" t="s">
        <v>271</v>
      </c>
      <c r="B40" s="21" t="s">
        <v>154</v>
      </c>
      <c r="C40" s="21" t="s">
        <v>53</v>
      </c>
      <c r="D40" s="21" t="s">
        <v>179</v>
      </c>
      <c r="E40" s="21" t="s">
        <v>69</v>
      </c>
      <c r="F40" s="21"/>
      <c r="G40" s="21"/>
    </row>
    <row r="41" spans="1:7">
      <c r="A41" s="21" t="s">
        <v>351</v>
      </c>
      <c r="B41" s="21" t="s">
        <v>345</v>
      </c>
      <c r="C41" s="21" t="s">
        <v>53</v>
      </c>
      <c r="D41" s="21" t="s">
        <v>179</v>
      </c>
      <c r="E41" s="21" t="s">
        <v>69</v>
      </c>
      <c r="F41" s="21"/>
      <c r="G41" s="21"/>
    </row>
    <row r="42" spans="1:7">
      <c r="A42" s="21" t="s">
        <v>352</v>
      </c>
      <c r="B42" s="21" t="s">
        <v>154</v>
      </c>
      <c r="C42" s="21" t="s">
        <v>53</v>
      </c>
      <c r="D42" s="21" t="s">
        <v>179</v>
      </c>
      <c r="E42" s="21" t="s">
        <v>66</v>
      </c>
      <c r="F42" s="21">
        <v>1</v>
      </c>
      <c r="G42" s="21"/>
    </row>
    <row r="43" spans="1:7">
      <c r="A43" s="21" t="s">
        <v>276</v>
      </c>
      <c r="B43" s="21" t="s">
        <v>277</v>
      </c>
      <c r="C43" s="21" t="s">
        <v>53</v>
      </c>
      <c r="D43" s="21" t="s">
        <v>179</v>
      </c>
      <c r="E43" s="21" t="s">
        <v>66</v>
      </c>
      <c r="F43" s="21">
        <v>1</v>
      </c>
      <c r="G43" s="21"/>
    </row>
    <row r="44" spans="1:7">
      <c r="A44" s="21" t="s">
        <v>353</v>
      </c>
      <c r="B44" s="21" t="s">
        <v>345</v>
      </c>
      <c r="C44" s="21" t="s">
        <v>53</v>
      </c>
      <c r="D44" s="21" t="s">
        <v>179</v>
      </c>
      <c r="E44" s="21" t="s">
        <v>66</v>
      </c>
      <c r="F44" s="21">
        <v>1</v>
      </c>
      <c r="G44" s="21"/>
    </row>
    <row r="45" spans="1:7">
      <c r="A45" s="21" t="s">
        <v>290</v>
      </c>
      <c r="B45" s="21" t="s">
        <v>291</v>
      </c>
      <c r="C45" s="21" t="s">
        <v>53</v>
      </c>
      <c r="D45" s="21" t="s">
        <v>179</v>
      </c>
      <c r="E45" s="21" t="s">
        <v>69</v>
      </c>
      <c r="F45" s="21"/>
      <c r="G45" s="21"/>
    </row>
    <row r="46" spans="1:7">
      <c r="A46" s="21" t="s">
        <v>354</v>
      </c>
      <c r="B46" s="21" t="s">
        <v>355</v>
      </c>
      <c r="C46" s="21" t="s">
        <v>53</v>
      </c>
      <c r="D46" s="21" t="s">
        <v>179</v>
      </c>
      <c r="E46" s="21" t="s">
        <v>69</v>
      </c>
      <c r="F46" s="21"/>
      <c r="G46" s="21"/>
    </row>
    <row r="47" spans="1:7">
      <c r="A47" s="21" t="s">
        <v>356</v>
      </c>
      <c r="B47" s="21" t="s">
        <v>345</v>
      </c>
      <c r="C47" s="21" t="s">
        <v>53</v>
      </c>
      <c r="D47" s="21" t="s">
        <v>179</v>
      </c>
      <c r="E47" s="21" t="s">
        <v>69</v>
      </c>
      <c r="F47" s="21"/>
      <c r="G47" s="21"/>
    </row>
    <row r="48" spans="1:7">
      <c r="A48" s="26" t="s">
        <v>278</v>
      </c>
      <c r="B48" s="21" t="s">
        <v>154</v>
      </c>
      <c r="C48" s="21" t="s">
        <v>53</v>
      </c>
      <c r="D48" s="21" t="s">
        <v>179</v>
      </c>
      <c r="E48" s="21" t="s">
        <v>69</v>
      </c>
      <c r="F48" s="21"/>
      <c r="G48" s="21"/>
    </row>
    <row r="49" spans="1:7">
      <c r="A49" s="21" t="s">
        <v>357</v>
      </c>
      <c r="B49" s="21" t="s">
        <v>283</v>
      </c>
      <c r="C49" s="21" t="s">
        <v>53</v>
      </c>
      <c r="D49" s="21" t="s">
        <v>179</v>
      </c>
      <c r="E49" s="21" t="s">
        <v>69</v>
      </c>
      <c r="F49" s="21"/>
      <c r="G49" s="21"/>
    </row>
    <row r="50" spans="1:7">
      <c r="A50" s="21" t="s">
        <v>270</v>
      </c>
      <c r="B50" s="21" t="s">
        <v>154</v>
      </c>
      <c r="C50" s="21" t="s">
        <v>53</v>
      </c>
      <c r="D50" s="21" t="s">
        <v>179</v>
      </c>
      <c r="E50" s="21" t="s">
        <v>69</v>
      </c>
      <c r="F50" s="21"/>
      <c r="G50" s="21"/>
    </row>
    <row r="51" spans="1:7">
      <c r="A51" s="21" t="s">
        <v>358</v>
      </c>
      <c r="B51" s="21" t="s">
        <v>359</v>
      </c>
      <c r="C51" s="21" t="s">
        <v>53</v>
      </c>
      <c r="D51" s="21" t="s">
        <v>179</v>
      </c>
      <c r="E51" s="21" t="s">
        <v>69</v>
      </c>
      <c r="F51" s="21"/>
      <c r="G51" s="21"/>
    </row>
    <row r="52" spans="1:7">
      <c r="A52" s="21" t="s">
        <v>360</v>
      </c>
      <c r="B52" s="21" t="s">
        <v>361</v>
      </c>
      <c r="C52" s="21" t="s">
        <v>53</v>
      </c>
      <c r="D52" s="21" t="s">
        <v>179</v>
      </c>
      <c r="E52" s="21" t="s">
        <v>69</v>
      </c>
      <c r="F52" s="21"/>
      <c r="G52" s="21"/>
    </row>
    <row r="53" spans="1:7">
      <c r="A53" s="21" t="s">
        <v>362</v>
      </c>
      <c r="B53" s="21" t="s">
        <v>361</v>
      </c>
      <c r="C53" s="21" t="s">
        <v>53</v>
      </c>
      <c r="D53" s="21" t="s">
        <v>179</v>
      </c>
      <c r="E53" s="21" t="s">
        <v>69</v>
      </c>
      <c r="F53" s="21"/>
      <c r="G53" s="21"/>
    </row>
    <row r="54" spans="1:7">
      <c r="A54" s="21" t="s">
        <v>363</v>
      </c>
      <c r="B54" s="21" t="s">
        <v>169</v>
      </c>
      <c r="C54" s="21" t="s">
        <v>53</v>
      </c>
      <c r="D54" s="21" t="s">
        <v>179</v>
      </c>
      <c r="E54" s="21" t="s">
        <v>69</v>
      </c>
      <c r="F54" s="21"/>
      <c r="G54" s="21"/>
    </row>
    <row r="55" spans="1:7">
      <c r="A55" s="21" t="s">
        <v>264</v>
      </c>
      <c r="B55" s="21" t="s">
        <v>169</v>
      </c>
      <c r="C55" s="21" t="s">
        <v>53</v>
      </c>
      <c r="D55" s="21" t="s">
        <v>179</v>
      </c>
      <c r="E55" s="21" t="s">
        <v>69</v>
      </c>
      <c r="F55" s="21"/>
      <c r="G55" s="21"/>
    </row>
    <row r="56" spans="1:7">
      <c r="A56" s="21" t="s">
        <v>364</v>
      </c>
      <c r="B56" s="21" t="s">
        <v>169</v>
      </c>
      <c r="C56" s="21" t="s">
        <v>53</v>
      </c>
      <c r="D56" s="21" t="s">
        <v>179</v>
      </c>
      <c r="E56" s="21" t="s">
        <v>66</v>
      </c>
      <c r="F56" s="21">
        <v>2</v>
      </c>
      <c r="G56" s="21" t="s">
        <v>274</v>
      </c>
    </row>
    <row r="57" spans="1:7">
      <c r="A57" s="21" t="s">
        <v>365</v>
      </c>
      <c r="B57" s="21" t="s">
        <v>366</v>
      </c>
      <c r="C57" s="21" t="s">
        <v>53</v>
      </c>
      <c r="D57" s="21" t="s">
        <v>179</v>
      </c>
      <c r="E57" s="21" t="s">
        <v>69</v>
      </c>
      <c r="F57" s="21"/>
      <c r="G57" s="21"/>
    </row>
    <row r="58" spans="1:7">
      <c r="A58" s="21" t="s">
        <v>367</v>
      </c>
      <c r="B58" s="21" t="s">
        <v>169</v>
      </c>
      <c r="C58" s="21" t="s">
        <v>53</v>
      </c>
      <c r="D58" s="21" t="s">
        <v>179</v>
      </c>
      <c r="E58" s="21" t="s">
        <v>66</v>
      </c>
      <c r="F58" s="21">
        <v>2</v>
      </c>
      <c r="G58" s="21" t="s">
        <v>274</v>
      </c>
    </row>
    <row r="59" spans="1:7">
      <c r="A59" s="21" t="s">
        <v>368</v>
      </c>
      <c r="B59" s="21" t="s">
        <v>169</v>
      </c>
      <c r="C59" s="21" t="s">
        <v>53</v>
      </c>
      <c r="D59" s="21" t="s">
        <v>179</v>
      </c>
      <c r="E59" s="21" t="s">
        <v>66</v>
      </c>
      <c r="F59" s="21">
        <v>2</v>
      </c>
      <c r="G59" s="21" t="s">
        <v>274</v>
      </c>
    </row>
    <row r="60" spans="1:7">
      <c r="A60" s="21" t="s">
        <v>369</v>
      </c>
      <c r="B60" s="21" t="s">
        <v>359</v>
      </c>
      <c r="C60" s="21" t="s">
        <v>53</v>
      </c>
      <c r="D60" s="21" t="s">
        <v>179</v>
      </c>
      <c r="E60" s="21" t="s">
        <v>69</v>
      </c>
      <c r="F60" s="21"/>
      <c r="G60" s="21"/>
    </row>
    <row r="61" spans="1:7">
      <c r="A61" s="21" t="s">
        <v>299</v>
      </c>
      <c r="B61" s="21" t="s">
        <v>116</v>
      </c>
      <c r="C61" s="21" t="s">
        <v>101</v>
      </c>
      <c r="D61" s="21" t="s">
        <v>185</v>
      </c>
      <c r="E61" s="21" t="s">
        <v>69</v>
      </c>
      <c r="F61" s="21"/>
      <c r="G61" s="21"/>
    </row>
    <row r="62" spans="1:7">
      <c r="A62" s="21" t="s">
        <v>370</v>
      </c>
      <c r="B62" s="21" t="s">
        <v>371</v>
      </c>
      <c r="C62" s="21" t="s">
        <v>101</v>
      </c>
      <c r="D62" s="21" t="s">
        <v>242</v>
      </c>
      <c r="E62" s="21" t="s">
        <v>69</v>
      </c>
      <c r="F62" s="21"/>
      <c r="G62" s="21"/>
    </row>
    <row r="63" spans="1:7">
      <c r="A63" s="21" t="s">
        <v>372</v>
      </c>
      <c r="B63" s="21" t="s">
        <v>373</v>
      </c>
      <c r="C63" s="21" t="s">
        <v>374</v>
      </c>
      <c r="D63" s="21" t="s">
        <v>375</v>
      </c>
      <c r="E63" s="21" t="s">
        <v>69</v>
      </c>
      <c r="F63" s="21"/>
      <c r="G63" s="21"/>
    </row>
    <row r="64" spans="1:7">
      <c r="A64" s="21" t="s">
        <v>300</v>
      </c>
      <c r="B64" s="21" t="s">
        <v>226</v>
      </c>
      <c r="C64" s="21" t="s">
        <v>101</v>
      </c>
      <c r="D64" s="21" t="s">
        <v>186</v>
      </c>
      <c r="E64" s="21" t="s">
        <v>69</v>
      </c>
      <c r="F64" s="21"/>
      <c r="G64" s="21"/>
    </row>
    <row r="65" spans="1:7">
      <c r="A65" s="21" t="s">
        <v>376</v>
      </c>
      <c r="B65" s="21" t="s">
        <v>334</v>
      </c>
      <c r="C65" s="21" t="s">
        <v>53</v>
      </c>
      <c r="D65" s="21" t="s">
        <v>186</v>
      </c>
      <c r="E65" s="21" t="s">
        <v>69</v>
      </c>
      <c r="F65" s="21"/>
      <c r="G65" s="21"/>
    </row>
    <row r="66" spans="1:7">
      <c r="A66" s="21" t="s">
        <v>377</v>
      </c>
      <c r="B66" s="21" t="s">
        <v>378</v>
      </c>
      <c r="C66" s="21" t="s">
        <v>374</v>
      </c>
      <c r="D66" s="21" t="s">
        <v>379</v>
      </c>
      <c r="E66" s="21" t="s">
        <v>69</v>
      </c>
      <c r="F66" s="21"/>
      <c r="G66" s="21"/>
    </row>
    <row r="67" spans="1:7">
      <c r="A67" s="21" t="s">
        <v>380</v>
      </c>
      <c r="B67" s="21" t="s">
        <v>175</v>
      </c>
      <c r="C67" s="21" t="s">
        <v>101</v>
      </c>
      <c r="D67" s="21" t="s">
        <v>379</v>
      </c>
      <c r="E67" s="21" t="s">
        <v>69</v>
      </c>
      <c r="F67" s="21"/>
      <c r="G67" s="21"/>
    </row>
    <row r="68" spans="1:7">
      <c r="A68" s="21" t="s">
        <v>381</v>
      </c>
      <c r="B68" s="21" t="s">
        <v>226</v>
      </c>
      <c r="C68" s="21" t="s">
        <v>101</v>
      </c>
      <c r="D68" s="21" t="s">
        <v>379</v>
      </c>
      <c r="E68" s="21"/>
      <c r="F68" s="21"/>
      <c r="G68" s="21" t="s">
        <v>382</v>
      </c>
    </row>
    <row r="69" spans="1:7">
      <c r="A69" s="6" t="s">
        <v>84</v>
      </c>
      <c r="B69" s="6"/>
      <c r="C69" s="6"/>
      <c r="D69" s="6"/>
      <c r="E69" s="6">
        <f>COUNTIF(E25:E68,"Y")</f>
        <v>9</v>
      </c>
      <c r="F69" s="6">
        <f>SUM(F25:F68)</f>
        <v>12</v>
      </c>
      <c r="G69" s="6"/>
    </row>
    <row r="71" spans="1:7">
      <c r="A71" s="50" t="s">
        <v>85</v>
      </c>
      <c r="B71" s="50"/>
      <c r="C71" s="50"/>
      <c r="D71" s="50"/>
      <c r="E71" s="50"/>
      <c r="F71" s="50"/>
      <c r="G71" s="50"/>
    </row>
    <row r="72" spans="1:7">
      <c r="A72" s="8" t="s">
        <v>86</v>
      </c>
      <c r="B72" s="8" t="s">
        <v>59</v>
      </c>
      <c r="C72" s="8" t="s">
        <v>51</v>
      </c>
      <c r="D72" s="8" t="s">
        <v>87</v>
      </c>
      <c r="E72" s="8" t="s">
        <v>88</v>
      </c>
      <c r="F72" s="8" t="s">
        <v>89</v>
      </c>
      <c r="G72" s="8" t="s">
        <v>10</v>
      </c>
    </row>
    <row r="73" spans="1:7">
      <c r="A73" s="21" t="s">
        <v>246</v>
      </c>
      <c r="B73" s="21" t="s">
        <v>332</v>
      </c>
      <c r="C73" s="21" t="s">
        <v>53</v>
      </c>
      <c r="D73" s="21" t="s">
        <v>383</v>
      </c>
      <c r="E73" s="22">
        <v>46341</v>
      </c>
      <c r="F73" s="21">
        <v>1</v>
      </c>
      <c r="G73" s="21"/>
    </row>
    <row r="74" spans="1:7">
      <c r="A74" s="21" t="s">
        <v>346</v>
      </c>
      <c r="B74" s="21" t="s">
        <v>347</v>
      </c>
      <c r="C74" s="21" t="s">
        <v>99</v>
      </c>
      <c r="D74" s="21" t="s">
        <v>384</v>
      </c>
      <c r="E74" s="22">
        <v>46376</v>
      </c>
      <c r="F74" s="21">
        <v>1</v>
      </c>
      <c r="G74" s="21"/>
    </row>
    <row r="75" spans="1:7">
      <c r="A75" s="21" t="s">
        <v>349</v>
      </c>
      <c r="B75" s="21" t="s">
        <v>350</v>
      </c>
      <c r="C75" s="21" t="s">
        <v>53</v>
      </c>
      <c r="D75" s="21" t="s">
        <v>385</v>
      </c>
      <c r="E75" s="22">
        <v>46032</v>
      </c>
      <c r="F75" s="21">
        <v>1</v>
      </c>
      <c r="G75" s="21"/>
    </row>
    <row r="76" spans="1:7">
      <c r="A76" s="21" t="s">
        <v>353</v>
      </c>
      <c r="B76" s="21" t="s">
        <v>345</v>
      </c>
      <c r="C76" s="21" t="s">
        <v>53</v>
      </c>
      <c r="D76" s="21" t="s">
        <v>386</v>
      </c>
      <c r="E76" s="22">
        <v>46032</v>
      </c>
      <c r="F76" s="21">
        <v>1</v>
      </c>
      <c r="G76" s="21"/>
    </row>
    <row r="77" spans="1:7">
      <c r="A77" s="21" t="s">
        <v>364</v>
      </c>
      <c r="B77" s="21" t="s">
        <v>169</v>
      </c>
      <c r="C77" s="21" t="s">
        <v>53</v>
      </c>
      <c r="D77" s="21" t="s">
        <v>387</v>
      </c>
      <c r="E77" s="22">
        <v>46039</v>
      </c>
      <c r="F77" s="21">
        <v>2</v>
      </c>
      <c r="G77" s="21" t="s">
        <v>274</v>
      </c>
    </row>
    <row r="78" spans="1:7">
      <c r="A78" s="21" t="s">
        <v>367</v>
      </c>
      <c r="B78" s="21" t="s">
        <v>169</v>
      </c>
      <c r="C78" s="21" t="s">
        <v>53</v>
      </c>
      <c r="D78" s="21" t="s">
        <v>388</v>
      </c>
      <c r="E78" s="22">
        <v>46052</v>
      </c>
      <c r="F78" s="21">
        <v>2</v>
      </c>
      <c r="G78" s="21" t="s">
        <v>274</v>
      </c>
    </row>
    <row r="79" spans="1:7">
      <c r="A79" s="21" t="s">
        <v>276</v>
      </c>
      <c r="B79" s="21" t="s">
        <v>277</v>
      </c>
      <c r="C79" s="21" t="s">
        <v>53</v>
      </c>
      <c r="D79" s="21" t="s">
        <v>389</v>
      </c>
      <c r="E79" s="22">
        <v>46074</v>
      </c>
      <c r="F79" s="21">
        <v>1</v>
      </c>
      <c r="G79" s="21"/>
    </row>
    <row r="80" spans="1:7">
      <c r="A80" s="21" t="s">
        <v>352</v>
      </c>
      <c r="B80" s="21" t="s">
        <v>154</v>
      </c>
      <c r="C80" s="21" t="s">
        <v>53</v>
      </c>
      <c r="D80" s="21" t="s">
        <v>390</v>
      </c>
      <c r="E80" s="22">
        <v>46088</v>
      </c>
      <c r="F80" s="21">
        <v>1</v>
      </c>
      <c r="G80" s="21"/>
    </row>
    <row r="81" spans="1:7">
      <c r="A81" s="21" t="s">
        <v>368</v>
      </c>
      <c r="B81" s="21" t="s">
        <v>169</v>
      </c>
      <c r="C81" s="21" t="s">
        <v>53</v>
      </c>
      <c r="D81" s="21" t="s">
        <v>391</v>
      </c>
      <c r="E81" s="22">
        <v>46039</v>
      </c>
      <c r="F81" s="21">
        <v>2</v>
      </c>
      <c r="G81" s="21" t="s">
        <v>274</v>
      </c>
    </row>
    <row r="82" spans="1:7">
      <c r="A82" s="21"/>
      <c r="B82" s="21"/>
      <c r="C82" s="21"/>
      <c r="D82" s="21"/>
      <c r="E82" s="21"/>
      <c r="F82" s="21"/>
      <c r="G82" s="21"/>
    </row>
    <row r="83" spans="1:7">
      <c r="A83" s="21"/>
      <c r="B83" s="21"/>
      <c r="C83" s="21"/>
      <c r="D83" s="21"/>
      <c r="E83" s="21"/>
      <c r="F83" s="21"/>
      <c r="G83" s="21"/>
    </row>
    <row r="84" spans="1:7">
      <c r="A84" s="21"/>
      <c r="B84" s="21"/>
      <c r="C84" s="21"/>
      <c r="D84" s="21"/>
      <c r="E84" s="21"/>
      <c r="F84" s="21"/>
      <c r="G84" s="21"/>
    </row>
    <row r="85" spans="1:7">
      <c r="A85" s="21"/>
      <c r="B85" s="21"/>
      <c r="C85" s="21"/>
      <c r="D85" s="21"/>
      <c r="E85" s="21"/>
      <c r="F85" s="21"/>
      <c r="G85" s="21"/>
    </row>
    <row r="86" spans="1:7">
      <c r="A86" s="21"/>
      <c r="B86" s="21"/>
      <c r="C86" s="21"/>
      <c r="D86" s="21"/>
      <c r="E86" s="21"/>
      <c r="F86" s="21"/>
      <c r="G86" s="21"/>
    </row>
    <row r="87" spans="1:7">
      <c r="A87" s="21"/>
      <c r="B87" s="21"/>
      <c r="C87" s="21"/>
      <c r="D87" s="21"/>
      <c r="E87" s="21"/>
      <c r="F87" s="21"/>
      <c r="G87" s="21"/>
    </row>
    <row r="88" spans="1:7" ht="15" customHeight="1"/>
    <row r="89" spans="1:7">
      <c r="A89" s="46" t="s">
        <v>92</v>
      </c>
      <c r="B89" s="46"/>
      <c r="C89" s="6">
        <f>COUNTA(A73:A87)</f>
        <v>9</v>
      </c>
      <c r="D89" s="7"/>
      <c r="E89" s="7"/>
      <c r="F89" s="7"/>
      <c r="G89" s="7"/>
    </row>
    <row r="90" spans="1:7">
      <c r="A90" s="46" t="s">
        <v>93</v>
      </c>
      <c r="B90" s="46"/>
      <c r="C90" s="6">
        <f>COUNTIF(F73:F87,1)</f>
        <v>6</v>
      </c>
      <c r="D90" s="7"/>
      <c r="E90" s="7"/>
      <c r="F90" s="7"/>
      <c r="G90" s="7"/>
    </row>
    <row r="91" spans="1:7">
      <c r="A91" s="46" t="s">
        <v>94</v>
      </c>
      <c r="B91" s="46"/>
      <c r="C91" s="6">
        <f>C89-C90</f>
        <v>3</v>
      </c>
      <c r="D91" s="7"/>
      <c r="E91" s="7"/>
      <c r="F91" s="7"/>
      <c r="G91" s="7"/>
    </row>
    <row r="93" spans="1:7">
      <c r="A93" s="50" t="s">
        <v>95</v>
      </c>
      <c r="B93" s="50"/>
      <c r="C93" s="50"/>
      <c r="D93" s="50"/>
      <c r="E93" s="50"/>
      <c r="F93" s="50"/>
      <c r="G93" s="50"/>
    </row>
    <row r="94" spans="1:7">
      <c r="A94" s="10" t="s">
        <v>96</v>
      </c>
    </row>
    <row r="95" spans="1:7">
      <c r="A95" s="8" t="s">
        <v>59</v>
      </c>
      <c r="B95" s="8" t="s">
        <v>51</v>
      </c>
      <c r="C95" s="8" t="s">
        <v>10</v>
      </c>
      <c r="D95" s="8"/>
      <c r="E95" s="8"/>
      <c r="F95" s="8"/>
      <c r="G95" s="8"/>
    </row>
    <row r="96" spans="1:7">
      <c r="A96" s="21" t="s">
        <v>332</v>
      </c>
      <c r="B96" s="21" t="s">
        <v>53</v>
      </c>
      <c r="C96" s="9"/>
    </row>
    <row r="97" spans="1:7">
      <c r="A97" s="21" t="s">
        <v>334</v>
      </c>
      <c r="B97" s="21" t="s">
        <v>53</v>
      </c>
      <c r="C97" s="9"/>
    </row>
    <row r="98" spans="1:7">
      <c r="A98" s="21" t="s">
        <v>336</v>
      </c>
      <c r="B98" s="21" t="s">
        <v>53</v>
      </c>
      <c r="C98" s="9"/>
    </row>
    <row r="99" spans="1:7">
      <c r="A99" s="21" t="s">
        <v>338</v>
      </c>
      <c r="B99" s="21" t="s">
        <v>54</v>
      </c>
      <c r="C99" s="9"/>
    </row>
    <row r="100" spans="1:7">
      <c r="A100" s="21" t="s">
        <v>340</v>
      </c>
      <c r="B100" s="21" t="s">
        <v>100</v>
      </c>
      <c r="C100" s="9"/>
    </row>
    <row r="101" spans="1:7">
      <c r="A101" s="21" t="s">
        <v>105</v>
      </c>
      <c r="B101" s="21" t="s">
        <v>99</v>
      </c>
      <c r="C101" s="9"/>
    </row>
    <row r="102" spans="1:7">
      <c r="A102" s="21" t="s">
        <v>226</v>
      </c>
      <c r="B102" s="21" t="s">
        <v>101</v>
      </c>
      <c r="C102" s="9"/>
    </row>
    <row r="103" spans="1:7">
      <c r="A103" s="21" t="s">
        <v>343</v>
      </c>
      <c r="B103" s="25" t="s">
        <v>54</v>
      </c>
      <c r="C103" s="9"/>
    </row>
    <row r="105" spans="1:7">
      <c r="A105" s="10" t="s">
        <v>179</v>
      </c>
    </row>
    <row r="106" spans="1:7">
      <c r="A106" s="8" t="s">
        <v>59</v>
      </c>
      <c r="B106" s="8" t="s">
        <v>51</v>
      </c>
      <c r="C106" s="8" t="s">
        <v>10</v>
      </c>
      <c r="D106" s="8"/>
      <c r="E106" s="8"/>
      <c r="F106" s="8"/>
      <c r="G106" s="8"/>
    </row>
    <row r="107" spans="1:7">
      <c r="A107" s="21" t="s">
        <v>345</v>
      </c>
      <c r="B107" s="21" t="s">
        <v>53</v>
      </c>
      <c r="C107" s="21"/>
    </row>
    <row r="108" spans="1:7">
      <c r="A108" s="21" t="s">
        <v>154</v>
      </c>
      <c r="B108" s="21" t="s">
        <v>53</v>
      </c>
      <c r="C108" s="21"/>
    </row>
    <row r="109" spans="1:7">
      <c r="A109" s="21" t="s">
        <v>347</v>
      </c>
      <c r="B109" s="21" t="s">
        <v>99</v>
      </c>
      <c r="C109" s="21"/>
    </row>
    <row r="110" spans="1:7">
      <c r="A110" s="21" t="s">
        <v>277</v>
      </c>
      <c r="B110" s="21" t="s">
        <v>53</v>
      </c>
      <c r="C110" s="21"/>
    </row>
    <row r="111" spans="1:7">
      <c r="A111" s="21" t="s">
        <v>291</v>
      </c>
      <c r="B111" s="21" t="s">
        <v>53</v>
      </c>
      <c r="C111" s="21"/>
    </row>
    <row r="112" spans="1:7">
      <c r="A112" s="21" t="s">
        <v>350</v>
      </c>
      <c r="B112" s="21" t="s">
        <v>53</v>
      </c>
      <c r="C112" s="21"/>
    </row>
    <row r="113" spans="1:7">
      <c r="A113" s="21" t="s">
        <v>291</v>
      </c>
      <c r="B113" s="21" t="s">
        <v>53</v>
      </c>
      <c r="C113" s="21"/>
    </row>
    <row r="114" spans="1:7">
      <c r="A114" s="21" t="s">
        <v>355</v>
      </c>
      <c r="B114" s="21" t="s">
        <v>53</v>
      </c>
      <c r="C114" s="21"/>
    </row>
    <row r="115" spans="1:7">
      <c r="A115" s="21" t="s">
        <v>283</v>
      </c>
      <c r="B115" s="21" t="s">
        <v>53</v>
      </c>
      <c r="C115" s="21"/>
    </row>
    <row r="116" spans="1:7">
      <c r="A116" s="21" t="s">
        <v>359</v>
      </c>
      <c r="B116" s="21" t="s">
        <v>53</v>
      </c>
      <c r="C116" s="21"/>
    </row>
    <row r="117" spans="1:7">
      <c r="A117" s="21" t="s">
        <v>361</v>
      </c>
      <c r="B117" s="21" t="s">
        <v>53</v>
      </c>
      <c r="C117" s="21"/>
    </row>
    <row r="118" spans="1:7">
      <c r="A118" s="21" t="s">
        <v>169</v>
      </c>
      <c r="B118" s="21" t="s">
        <v>53</v>
      </c>
      <c r="C118" s="21"/>
    </row>
    <row r="119" spans="1:7">
      <c r="A119" s="21" t="s">
        <v>366</v>
      </c>
      <c r="B119" s="21" t="s">
        <v>53</v>
      </c>
      <c r="C119" s="21"/>
    </row>
    <row r="120" spans="1:7">
      <c r="A120" s="21"/>
      <c r="B120" s="21"/>
      <c r="C120" s="21"/>
    </row>
    <row r="121" spans="1:7">
      <c r="A121" s="21"/>
      <c r="B121" s="21"/>
      <c r="C121" s="21"/>
    </row>
    <row r="123" spans="1:7">
      <c r="A123" s="6" t="s">
        <v>97</v>
      </c>
      <c r="B123" s="6"/>
      <c r="C123" s="6"/>
      <c r="D123" s="6"/>
      <c r="E123" s="6"/>
      <c r="F123" s="6"/>
      <c r="G123" s="6"/>
    </row>
    <row r="125" spans="1:7">
      <c r="A125" s="50" t="s">
        <v>180</v>
      </c>
      <c r="B125" s="50"/>
      <c r="C125" s="50"/>
      <c r="D125" s="50"/>
      <c r="E125" s="50"/>
      <c r="F125" s="50"/>
      <c r="G125" s="50"/>
    </row>
    <row r="126" spans="1:7">
      <c r="A126" s="8" t="s">
        <v>181</v>
      </c>
      <c r="B126" s="8" t="s">
        <v>86</v>
      </c>
      <c r="C126" s="8" t="s">
        <v>59</v>
      </c>
      <c r="D126" s="8" t="s">
        <v>51</v>
      </c>
      <c r="E126" s="8" t="s">
        <v>88</v>
      </c>
      <c r="F126" s="8" t="s">
        <v>182</v>
      </c>
      <c r="G126" s="8" t="s">
        <v>10</v>
      </c>
    </row>
    <row r="127" spans="1:7">
      <c r="A127" s="21" t="s">
        <v>392</v>
      </c>
      <c r="B127" s="21" t="s">
        <v>364</v>
      </c>
      <c r="C127" s="21" t="s">
        <v>169</v>
      </c>
      <c r="D127" s="21" t="s">
        <v>53</v>
      </c>
      <c r="E127" s="31">
        <v>45709</v>
      </c>
      <c r="F127" s="30" t="s">
        <v>244</v>
      </c>
      <c r="G127" s="21"/>
    </row>
    <row r="128" spans="1:7">
      <c r="A128" s="21" t="s">
        <v>392</v>
      </c>
      <c r="B128" s="21" t="s">
        <v>278</v>
      </c>
      <c r="C128" s="21" t="s">
        <v>154</v>
      </c>
      <c r="D128" s="21" t="s">
        <v>53</v>
      </c>
      <c r="E128" s="31">
        <v>45709</v>
      </c>
      <c r="F128" s="30" t="s">
        <v>328</v>
      </c>
      <c r="G128" s="21"/>
    </row>
    <row r="129" spans="1:7">
      <c r="A129" s="21" t="s">
        <v>393</v>
      </c>
      <c r="B129" s="21" t="s">
        <v>367</v>
      </c>
      <c r="C129" s="21" t="s">
        <v>169</v>
      </c>
      <c r="D129" s="21" t="s">
        <v>53</v>
      </c>
      <c r="E129" s="31">
        <v>45709</v>
      </c>
      <c r="F129" s="30" t="s">
        <v>244</v>
      </c>
      <c r="G129" s="21"/>
    </row>
    <row r="130" spans="1:7">
      <c r="A130" s="21" t="s">
        <v>393</v>
      </c>
      <c r="B130" s="21" t="s">
        <v>353</v>
      </c>
      <c r="C130" s="21" t="s">
        <v>345</v>
      </c>
      <c r="D130" s="21" t="s">
        <v>53</v>
      </c>
      <c r="E130" s="31">
        <v>45709</v>
      </c>
      <c r="F130" s="30" t="s">
        <v>322</v>
      </c>
      <c r="G130" s="21"/>
    </row>
    <row r="131" spans="1:7">
      <c r="A131" s="21" t="s">
        <v>394</v>
      </c>
      <c r="B131" s="21" t="s">
        <v>364</v>
      </c>
      <c r="C131" s="21" t="s">
        <v>169</v>
      </c>
      <c r="D131" s="21" t="s">
        <v>53</v>
      </c>
      <c r="E131" s="31">
        <v>46053</v>
      </c>
      <c r="F131" s="30" t="s">
        <v>91</v>
      </c>
      <c r="G131" s="21"/>
    </row>
    <row r="132" spans="1:7">
      <c r="A132" s="21" t="s">
        <v>394</v>
      </c>
      <c r="B132" s="21" t="s">
        <v>346</v>
      </c>
      <c r="C132" s="21" t="s">
        <v>347</v>
      </c>
      <c r="D132" s="21" t="s">
        <v>99</v>
      </c>
      <c r="E132" s="31">
        <v>45688</v>
      </c>
      <c r="F132" s="30" t="s">
        <v>326</v>
      </c>
      <c r="G132" s="21"/>
    </row>
    <row r="133" spans="1:7">
      <c r="A133" s="21" t="s">
        <v>394</v>
      </c>
      <c r="B133" s="21" t="s">
        <v>299</v>
      </c>
      <c r="C133" s="21" t="s">
        <v>116</v>
      </c>
      <c r="D133" s="21" t="s">
        <v>101</v>
      </c>
      <c r="E133" s="31">
        <v>45688</v>
      </c>
      <c r="F133" s="30" t="s">
        <v>322</v>
      </c>
      <c r="G133" s="21"/>
    </row>
    <row r="134" spans="1:7">
      <c r="A134" s="21" t="s">
        <v>395</v>
      </c>
      <c r="B134" s="21" t="s">
        <v>325</v>
      </c>
      <c r="C134" s="21" t="s">
        <v>226</v>
      </c>
      <c r="D134" s="21" t="s">
        <v>101</v>
      </c>
      <c r="E134" s="31">
        <v>45723</v>
      </c>
      <c r="F134" s="30" t="s">
        <v>320</v>
      </c>
      <c r="G134" s="21"/>
    </row>
    <row r="135" spans="1:7">
      <c r="A135" s="21" t="s">
        <v>395</v>
      </c>
      <c r="B135" s="21" t="s">
        <v>396</v>
      </c>
      <c r="C135" s="21" t="s">
        <v>169</v>
      </c>
      <c r="D135" s="21" t="s">
        <v>53</v>
      </c>
      <c r="E135" s="31">
        <v>45723</v>
      </c>
      <c r="F135" s="30" t="s">
        <v>326</v>
      </c>
      <c r="G135" s="21"/>
    </row>
    <row r="136" spans="1:7">
      <c r="A136" s="21"/>
      <c r="B136" s="21"/>
      <c r="C136" s="21"/>
      <c r="D136" s="21"/>
      <c r="E136" s="30"/>
      <c r="F136" s="30"/>
      <c r="G136" s="21"/>
    </row>
  </sheetData>
  <autoFilter ref="A24:G55" xr:uid="{00000000-0001-0000-0700-000000000000}">
    <sortState xmlns:xlrd2="http://schemas.microsoft.com/office/spreadsheetml/2017/richdata2" ref="A25:G64">
      <sortCondition ref="D24:D55"/>
    </sortState>
  </autoFilter>
  <mergeCells count="9">
    <mergeCell ref="A90:B90"/>
    <mergeCell ref="A91:B91"/>
    <mergeCell ref="A93:G93"/>
    <mergeCell ref="A125:G125"/>
    <mergeCell ref="A1:G1"/>
    <mergeCell ref="A4:G4"/>
    <mergeCell ref="A23:G23"/>
    <mergeCell ref="A71:G71"/>
    <mergeCell ref="A89:B89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7D32"/>
  </sheetPr>
  <dimension ref="A1:G120"/>
  <sheetViews>
    <sheetView tabSelected="1" topLeftCell="A103" zoomScaleNormal="100" workbookViewId="0">
      <selection activeCell="C120" sqref="C120"/>
    </sheetView>
  </sheetViews>
  <sheetFormatPr defaultColWidth="8.7109375" defaultRowHeight="14.45"/>
  <cols>
    <col min="1" max="2" width="33.7109375" bestFit="1" customWidth="1"/>
    <col min="3" max="3" width="28.7109375" bestFit="1" customWidth="1"/>
    <col min="4" max="4" width="30" customWidth="1"/>
    <col min="5" max="5" width="14" customWidth="1"/>
    <col min="6" max="6" width="18" customWidth="1"/>
    <col min="7" max="7" width="30" customWidth="1"/>
  </cols>
  <sheetData>
    <row r="1" spans="1:7" ht="16.899999999999999">
      <c r="A1" s="48" t="s">
        <v>397</v>
      </c>
      <c r="B1" s="48"/>
      <c r="C1" s="48"/>
      <c r="D1" s="48"/>
      <c r="E1" s="48"/>
      <c r="F1" s="48"/>
      <c r="G1" s="48"/>
    </row>
    <row r="4" spans="1:7">
      <c r="A4" s="50" t="s">
        <v>49</v>
      </c>
      <c r="B4" s="50"/>
      <c r="C4" s="50"/>
      <c r="D4" s="50"/>
      <c r="E4" s="50"/>
      <c r="F4" s="50"/>
      <c r="G4" s="50"/>
    </row>
    <row r="5" spans="1:7">
      <c r="A5" s="8" t="s">
        <v>50</v>
      </c>
      <c r="B5" s="8" t="s">
        <v>51</v>
      </c>
      <c r="C5" s="8" t="s">
        <v>52</v>
      </c>
      <c r="D5" s="8" t="s">
        <v>10</v>
      </c>
      <c r="E5" s="8"/>
      <c r="F5" s="8"/>
      <c r="G5" s="8"/>
    </row>
    <row r="6" spans="1:7">
      <c r="A6" s="2" t="s">
        <v>12</v>
      </c>
      <c r="B6" s="2" t="s">
        <v>53</v>
      </c>
      <c r="C6" s="2">
        <v>4</v>
      </c>
      <c r="D6" s="2"/>
      <c r="E6" s="2"/>
      <c r="F6" s="2"/>
      <c r="G6" s="2"/>
    </row>
    <row r="7" spans="1:7">
      <c r="A7" s="2" t="s">
        <v>12</v>
      </c>
      <c r="B7" s="2" t="s">
        <v>54</v>
      </c>
      <c r="C7" s="2">
        <v>1</v>
      </c>
      <c r="D7" s="2"/>
      <c r="E7" s="2"/>
      <c r="F7" s="2"/>
      <c r="G7" s="2"/>
    </row>
    <row r="8" spans="1:7">
      <c r="A8" s="2" t="s">
        <v>12</v>
      </c>
      <c r="B8" s="2" t="s">
        <v>99</v>
      </c>
      <c r="C8" s="2">
        <v>1</v>
      </c>
      <c r="D8" s="2"/>
      <c r="E8" s="2"/>
      <c r="F8" s="2"/>
      <c r="G8" s="2"/>
    </row>
    <row r="9" spans="1:7">
      <c r="A9" s="2" t="s">
        <v>12</v>
      </c>
      <c r="B9" s="2" t="s">
        <v>101</v>
      </c>
      <c r="C9" s="2">
        <v>1</v>
      </c>
      <c r="D9" s="2"/>
      <c r="E9" s="2"/>
      <c r="F9" s="2"/>
      <c r="G9" s="2"/>
    </row>
    <row r="10" spans="1:7">
      <c r="A10" s="2" t="s">
        <v>125</v>
      </c>
      <c r="B10" s="2" t="s">
        <v>53</v>
      </c>
      <c r="C10" s="2">
        <v>24</v>
      </c>
      <c r="D10" s="2"/>
      <c r="E10" s="2"/>
      <c r="F10" s="2"/>
      <c r="G10" s="2"/>
    </row>
    <row r="11" spans="1:7">
      <c r="A11" s="2" t="s">
        <v>125</v>
      </c>
      <c r="B11" s="2" t="s">
        <v>99</v>
      </c>
      <c r="C11" s="2">
        <v>3</v>
      </c>
      <c r="D11" s="2"/>
      <c r="E11" s="2"/>
      <c r="F11" s="2"/>
      <c r="G11" s="2"/>
    </row>
    <row r="12" spans="1:7">
      <c r="A12" s="2" t="s">
        <v>242</v>
      </c>
      <c r="B12" s="2" t="s">
        <v>101</v>
      </c>
      <c r="C12" s="2">
        <v>1</v>
      </c>
      <c r="D12" s="2"/>
      <c r="E12" s="2"/>
      <c r="F12" s="2"/>
      <c r="G12" s="2"/>
    </row>
    <row r="13" spans="1:7">
      <c r="A13" s="4"/>
      <c r="B13" s="4"/>
      <c r="C13" s="4"/>
      <c r="D13" s="4"/>
    </row>
    <row r="14" spans="1:7">
      <c r="A14" s="4"/>
      <c r="B14" s="4"/>
      <c r="C14" s="4"/>
      <c r="D14" s="4"/>
    </row>
    <row r="15" spans="1:7">
      <c r="A15" s="4"/>
      <c r="B15" s="4"/>
      <c r="C15" s="4"/>
      <c r="D15" s="4"/>
    </row>
    <row r="16" spans="1:7">
      <c r="A16" s="6" t="s">
        <v>56</v>
      </c>
      <c r="B16" s="6"/>
      <c r="C16" s="6">
        <f>SUM(C6:C15)</f>
        <v>35</v>
      </c>
      <c r="D16" s="6"/>
      <c r="E16" s="6"/>
      <c r="F16" s="6"/>
      <c r="G16" s="6"/>
    </row>
    <row r="18" spans="1:7">
      <c r="A18" s="52" t="s">
        <v>57</v>
      </c>
      <c r="B18" s="52"/>
      <c r="C18" s="52"/>
      <c r="D18" s="52"/>
      <c r="E18" s="52"/>
      <c r="F18" s="52"/>
      <c r="G18" s="52"/>
    </row>
    <row r="19" spans="1:7">
      <c r="A19" s="13" t="s">
        <v>58</v>
      </c>
      <c r="B19" s="13" t="s">
        <v>59</v>
      </c>
      <c r="C19" s="13" t="s">
        <v>51</v>
      </c>
      <c r="D19" s="13" t="s">
        <v>50</v>
      </c>
      <c r="E19" s="13" t="s">
        <v>60</v>
      </c>
      <c r="F19" s="13" t="s">
        <v>61</v>
      </c>
      <c r="G19" s="13" t="s">
        <v>10</v>
      </c>
    </row>
    <row r="20" spans="1:7" s="15" customFormat="1">
      <c r="A20" s="20" t="s">
        <v>398</v>
      </c>
      <c r="B20" s="20" t="s">
        <v>399</v>
      </c>
      <c r="C20" s="20" t="s">
        <v>53</v>
      </c>
      <c r="D20" s="20" t="s">
        <v>12</v>
      </c>
      <c r="E20" s="20" t="s">
        <v>66</v>
      </c>
      <c r="F20" s="20">
        <v>1</v>
      </c>
      <c r="G20" s="20"/>
    </row>
    <row r="21" spans="1:7">
      <c r="A21" s="14" t="s">
        <v>400</v>
      </c>
      <c r="B21" s="14" t="s">
        <v>169</v>
      </c>
      <c r="C21" s="14" t="s">
        <v>53</v>
      </c>
      <c r="D21" s="14" t="s">
        <v>125</v>
      </c>
      <c r="E21" s="14" t="s">
        <v>66</v>
      </c>
      <c r="F21" s="14">
        <v>1</v>
      </c>
      <c r="G21" s="14"/>
    </row>
    <row r="22" spans="1:7">
      <c r="A22" s="14" t="s">
        <v>401</v>
      </c>
      <c r="B22" s="14" t="s">
        <v>402</v>
      </c>
      <c r="C22" s="14" t="s">
        <v>99</v>
      </c>
      <c r="D22" s="14" t="s">
        <v>125</v>
      </c>
      <c r="E22" s="14" t="s">
        <v>66</v>
      </c>
      <c r="F22" s="14">
        <v>1</v>
      </c>
      <c r="G22" s="14"/>
    </row>
    <row r="23" spans="1:7">
      <c r="A23" s="14" t="s">
        <v>403</v>
      </c>
      <c r="B23" s="14" t="s">
        <v>154</v>
      </c>
      <c r="C23" s="14" t="s">
        <v>53</v>
      </c>
      <c r="D23" s="14" t="s">
        <v>125</v>
      </c>
      <c r="E23" s="14" t="s">
        <v>66</v>
      </c>
      <c r="F23" s="14">
        <v>1</v>
      </c>
      <c r="G23" s="14"/>
    </row>
    <row r="24" spans="1:7">
      <c r="A24" s="14" t="s">
        <v>404</v>
      </c>
      <c r="B24" s="14" t="s">
        <v>169</v>
      </c>
      <c r="C24" s="14" t="s">
        <v>53</v>
      </c>
      <c r="D24" s="14" t="s">
        <v>125</v>
      </c>
      <c r="E24" s="14" t="s">
        <v>66</v>
      </c>
      <c r="F24" s="14">
        <v>2</v>
      </c>
      <c r="G24" s="14" t="s">
        <v>274</v>
      </c>
    </row>
    <row r="25" spans="1:7">
      <c r="A25" s="14" t="s">
        <v>405</v>
      </c>
      <c r="B25" s="14" t="s">
        <v>406</v>
      </c>
      <c r="C25" s="14" t="s">
        <v>53</v>
      </c>
      <c r="D25" s="14" t="s">
        <v>125</v>
      </c>
      <c r="E25" s="14" t="s">
        <v>66</v>
      </c>
      <c r="F25" s="14">
        <v>1</v>
      </c>
      <c r="G25" s="14"/>
    </row>
    <row r="26" spans="1:7">
      <c r="A26" s="14" t="s">
        <v>407</v>
      </c>
      <c r="B26" s="14" t="s">
        <v>169</v>
      </c>
      <c r="C26" s="14" t="s">
        <v>53</v>
      </c>
      <c r="D26" s="14" t="s">
        <v>125</v>
      </c>
      <c r="E26" s="14" t="s">
        <v>66</v>
      </c>
      <c r="F26" s="14">
        <v>1</v>
      </c>
      <c r="G26" s="14"/>
    </row>
    <row r="27" spans="1:7">
      <c r="A27" s="14" t="s">
        <v>408</v>
      </c>
      <c r="B27" s="14" t="s">
        <v>409</v>
      </c>
      <c r="C27" s="14" t="s">
        <v>99</v>
      </c>
      <c r="D27" s="14" t="s">
        <v>125</v>
      </c>
      <c r="E27" s="14" t="s">
        <v>66</v>
      </c>
      <c r="F27" s="14">
        <v>1</v>
      </c>
      <c r="G27" s="14"/>
    </row>
    <row r="28" spans="1:7">
      <c r="A28" s="14" t="s">
        <v>410</v>
      </c>
      <c r="B28" s="14" t="s">
        <v>169</v>
      </c>
      <c r="C28" s="14" t="s">
        <v>53</v>
      </c>
      <c r="D28" s="14" t="s">
        <v>125</v>
      </c>
      <c r="E28" s="14" t="s">
        <v>66</v>
      </c>
      <c r="F28" s="14">
        <v>2</v>
      </c>
      <c r="G28" s="14" t="s">
        <v>274</v>
      </c>
    </row>
    <row r="29" spans="1:7">
      <c r="A29" s="14" t="s">
        <v>411</v>
      </c>
      <c r="B29" s="14" t="s">
        <v>169</v>
      </c>
      <c r="C29" s="14" t="s">
        <v>53</v>
      </c>
      <c r="D29" s="14" t="s">
        <v>125</v>
      </c>
      <c r="E29" s="14" t="s">
        <v>66</v>
      </c>
      <c r="F29" s="14">
        <v>1</v>
      </c>
      <c r="G29" s="14"/>
    </row>
    <row r="30" spans="1:7">
      <c r="A30" s="14" t="s">
        <v>412</v>
      </c>
      <c r="B30" s="14" t="s">
        <v>413</v>
      </c>
      <c r="C30" s="14" t="s">
        <v>53</v>
      </c>
      <c r="D30" s="14" t="s">
        <v>125</v>
      </c>
      <c r="E30" s="14" t="s">
        <v>66</v>
      </c>
      <c r="F30" s="14">
        <v>1</v>
      </c>
      <c r="G30" s="14"/>
    </row>
    <row r="31" spans="1:7">
      <c r="A31" s="14" t="s">
        <v>414</v>
      </c>
      <c r="B31" s="14" t="s">
        <v>277</v>
      </c>
      <c r="C31" s="14" t="s">
        <v>53</v>
      </c>
      <c r="D31" s="14" t="s">
        <v>125</v>
      </c>
      <c r="E31" s="14" t="s">
        <v>66</v>
      </c>
      <c r="F31" s="14">
        <v>1</v>
      </c>
      <c r="G31" s="14"/>
    </row>
    <row r="32" spans="1:7">
      <c r="A32" s="20" t="s">
        <v>415</v>
      </c>
      <c r="B32" s="20" t="s">
        <v>416</v>
      </c>
      <c r="C32" s="20" t="s">
        <v>99</v>
      </c>
      <c r="D32" s="20" t="s">
        <v>12</v>
      </c>
      <c r="E32" s="20" t="s">
        <v>69</v>
      </c>
      <c r="F32" s="20"/>
      <c r="G32" s="20"/>
    </row>
    <row r="33" spans="1:7">
      <c r="A33" s="20" t="s">
        <v>417</v>
      </c>
      <c r="B33" s="20" t="s">
        <v>226</v>
      </c>
      <c r="C33" s="20" t="s">
        <v>101</v>
      </c>
      <c r="D33" s="20" t="s">
        <v>12</v>
      </c>
      <c r="E33" s="20" t="s">
        <v>69</v>
      </c>
      <c r="F33" s="20"/>
      <c r="G33" s="20"/>
    </row>
    <row r="34" spans="1:7">
      <c r="A34" s="20" t="s">
        <v>418</v>
      </c>
      <c r="B34" s="20" t="s">
        <v>419</v>
      </c>
      <c r="C34" s="20" t="s">
        <v>53</v>
      </c>
      <c r="D34" s="20" t="s">
        <v>12</v>
      </c>
      <c r="E34" s="20" t="s">
        <v>69</v>
      </c>
      <c r="F34" s="20"/>
      <c r="G34" s="20"/>
    </row>
    <row r="35" spans="1:7">
      <c r="A35" s="20" t="s">
        <v>420</v>
      </c>
      <c r="B35" s="20" t="s">
        <v>334</v>
      </c>
      <c r="C35" s="20" t="s">
        <v>53</v>
      </c>
      <c r="D35" s="20" t="s">
        <v>12</v>
      </c>
      <c r="E35" s="20" t="s">
        <v>69</v>
      </c>
      <c r="F35" s="20"/>
      <c r="G35" s="20"/>
    </row>
    <row r="36" spans="1:7">
      <c r="A36" s="20" t="s">
        <v>421</v>
      </c>
      <c r="B36" s="20" t="s">
        <v>422</v>
      </c>
      <c r="C36" s="20" t="s">
        <v>54</v>
      </c>
      <c r="D36" s="20" t="s">
        <v>12</v>
      </c>
      <c r="E36" s="20" t="s">
        <v>69</v>
      </c>
      <c r="F36" s="20"/>
      <c r="G36" s="20"/>
    </row>
    <row r="37" spans="1:7">
      <c r="A37" s="20" t="s">
        <v>423</v>
      </c>
      <c r="B37" s="20" t="s">
        <v>424</v>
      </c>
      <c r="C37" s="20" t="s">
        <v>53</v>
      </c>
      <c r="D37" s="20" t="s">
        <v>12</v>
      </c>
      <c r="E37" s="20" t="s">
        <v>69</v>
      </c>
      <c r="F37" s="20"/>
      <c r="G37" s="20"/>
    </row>
    <row r="38" spans="1:7">
      <c r="A38" s="16" t="s">
        <v>425</v>
      </c>
      <c r="B38" s="16" t="s">
        <v>277</v>
      </c>
      <c r="C38" s="16" t="s">
        <v>53</v>
      </c>
      <c r="D38" s="16" t="s">
        <v>125</v>
      </c>
      <c r="E38" s="16" t="s">
        <v>69</v>
      </c>
      <c r="F38" s="17"/>
      <c r="G38" s="17"/>
    </row>
    <row r="39" spans="1:7">
      <c r="A39" s="16" t="s">
        <v>426</v>
      </c>
      <c r="B39" s="16" t="s">
        <v>350</v>
      </c>
      <c r="C39" s="16" t="s">
        <v>53</v>
      </c>
      <c r="D39" s="16" t="s">
        <v>125</v>
      </c>
      <c r="E39" s="16" t="s">
        <v>69</v>
      </c>
      <c r="F39" s="18"/>
      <c r="G39" s="18"/>
    </row>
    <row r="40" spans="1:7">
      <c r="A40" s="16" t="s">
        <v>427</v>
      </c>
      <c r="B40" s="16" t="s">
        <v>428</v>
      </c>
      <c r="C40" s="16" t="s">
        <v>53</v>
      </c>
      <c r="D40" s="16" t="s">
        <v>125</v>
      </c>
      <c r="E40" s="16" t="s">
        <v>69</v>
      </c>
      <c r="F40" s="18"/>
      <c r="G40" s="18"/>
    </row>
    <row r="41" spans="1:7">
      <c r="A41" s="16" t="s">
        <v>429</v>
      </c>
      <c r="B41" s="16" t="s">
        <v>428</v>
      </c>
      <c r="C41" s="16" t="s">
        <v>99</v>
      </c>
      <c r="D41" s="16" t="s">
        <v>125</v>
      </c>
      <c r="E41" s="16" t="s">
        <v>69</v>
      </c>
      <c r="F41" s="18"/>
      <c r="G41" s="18"/>
    </row>
    <row r="42" spans="1:7">
      <c r="A42" s="16" t="s">
        <v>430</v>
      </c>
      <c r="B42" s="16" t="s">
        <v>366</v>
      </c>
      <c r="C42" s="16" t="s">
        <v>99</v>
      </c>
      <c r="D42" s="16" t="s">
        <v>125</v>
      </c>
      <c r="E42" s="16" t="s">
        <v>69</v>
      </c>
      <c r="F42" s="18"/>
      <c r="G42" s="18"/>
    </row>
    <row r="43" spans="1:7">
      <c r="A43" s="16" t="s">
        <v>431</v>
      </c>
      <c r="B43" s="16" t="s">
        <v>432</v>
      </c>
      <c r="C43" s="16" t="s">
        <v>53</v>
      </c>
      <c r="D43" s="16" t="s">
        <v>125</v>
      </c>
      <c r="E43" s="16" t="s">
        <v>69</v>
      </c>
      <c r="F43" s="18"/>
      <c r="G43" s="18"/>
    </row>
    <row r="44" spans="1:7">
      <c r="A44" s="16" t="s">
        <v>433</v>
      </c>
      <c r="B44" s="16" t="s">
        <v>345</v>
      </c>
      <c r="C44" s="16" t="s">
        <v>99</v>
      </c>
      <c r="D44" s="16" t="s">
        <v>125</v>
      </c>
      <c r="E44" s="16" t="s">
        <v>69</v>
      </c>
      <c r="F44" s="18"/>
      <c r="G44" s="18"/>
    </row>
    <row r="45" spans="1:7">
      <c r="A45" s="16" t="s">
        <v>434</v>
      </c>
      <c r="B45" s="16" t="s">
        <v>345</v>
      </c>
      <c r="C45" s="16" t="s">
        <v>99</v>
      </c>
      <c r="D45" s="16" t="s">
        <v>125</v>
      </c>
      <c r="E45" s="16" t="s">
        <v>69</v>
      </c>
      <c r="F45" s="18"/>
      <c r="G45" s="18"/>
    </row>
    <row r="46" spans="1:7">
      <c r="A46" s="16" t="s">
        <v>435</v>
      </c>
      <c r="B46" s="16" t="s">
        <v>436</v>
      </c>
      <c r="C46" s="16" t="s">
        <v>99</v>
      </c>
      <c r="D46" s="16" t="s">
        <v>125</v>
      </c>
      <c r="E46" s="16" t="s">
        <v>69</v>
      </c>
      <c r="F46" s="18"/>
      <c r="G46" s="18"/>
    </row>
    <row r="47" spans="1:7">
      <c r="A47" s="16" t="s">
        <v>437</v>
      </c>
      <c r="B47" s="16" t="s">
        <v>438</v>
      </c>
      <c r="C47" s="16" t="s">
        <v>99</v>
      </c>
      <c r="D47" s="16" t="s">
        <v>125</v>
      </c>
      <c r="E47" s="16" t="s">
        <v>66</v>
      </c>
      <c r="F47" s="16">
        <v>1</v>
      </c>
      <c r="G47" s="18"/>
    </row>
    <row r="48" spans="1:7">
      <c r="A48" s="16" t="s">
        <v>439</v>
      </c>
      <c r="B48" s="16" t="s">
        <v>154</v>
      </c>
      <c r="C48" s="16" t="s">
        <v>53</v>
      </c>
      <c r="D48" s="16" t="s">
        <v>125</v>
      </c>
      <c r="E48" s="16" t="s">
        <v>69</v>
      </c>
      <c r="F48" s="18"/>
      <c r="G48" s="18"/>
    </row>
    <row r="49" spans="1:7">
      <c r="A49" s="16" t="s">
        <v>440</v>
      </c>
      <c r="B49" s="16" t="s">
        <v>154</v>
      </c>
      <c r="C49" s="16" t="s">
        <v>99</v>
      </c>
      <c r="D49" s="16" t="s">
        <v>125</v>
      </c>
      <c r="E49" s="16" t="s">
        <v>69</v>
      </c>
      <c r="F49" s="18"/>
      <c r="G49" s="18"/>
    </row>
    <row r="50" spans="1:7">
      <c r="A50" s="19" t="s">
        <v>441</v>
      </c>
      <c r="B50" s="19" t="s">
        <v>154</v>
      </c>
      <c r="C50" s="19" t="s">
        <v>53</v>
      </c>
      <c r="D50" s="19" t="s">
        <v>125</v>
      </c>
      <c r="E50" s="19" t="s">
        <v>69</v>
      </c>
      <c r="F50" s="19"/>
      <c r="G50" s="19"/>
    </row>
    <row r="51" spans="1:7">
      <c r="A51" s="19" t="s">
        <v>442</v>
      </c>
      <c r="B51" s="19" t="s">
        <v>154</v>
      </c>
      <c r="C51" s="19" t="s">
        <v>443</v>
      </c>
      <c r="D51" s="19" t="s">
        <v>125</v>
      </c>
      <c r="E51" s="19" t="s">
        <v>69</v>
      </c>
      <c r="F51" s="19"/>
      <c r="G51" s="19"/>
    </row>
    <row r="52" spans="1:7">
      <c r="A52" s="19" t="s">
        <v>444</v>
      </c>
      <c r="B52" s="19" t="s">
        <v>169</v>
      </c>
      <c r="C52" s="19" t="s">
        <v>443</v>
      </c>
      <c r="D52" s="19" t="s">
        <v>125</v>
      </c>
      <c r="E52" s="19" t="s">
        <v>69</v>
      </c>
      <c r="F52" s="19"/>
      <c r="G52" s="19"/>
    </row>
    <row r="53" spans="1:7">
      <c r="A53" s="19" t="s">
        <v>445</v>
      </c>
      <c r="B53" s="19" t="s">
        <v>446</v>
      </c>
      <c r="C53" s="19" t="s">
        <v>99</v>
      </c>
      <c r="D53" s="19" t="s">
        <v>125</v>
      </c>
      <c r="E53" s="19" t="s">
        <v>69</v>
      </c>
      <c r="F53" s="19"/>
      <c r="G53" s="19"/>
    </row>
    <row r="54" spans="1:7">
      <c r="A54" s="19" t="s">
        <v>447</v>
      </c>
      <c r="B54" s="19" t="s">
        <v>226</v>
      </c>
      <c r="C54" s="19" t="s">
        <v>101</v>
      </c>
      <c r="D54" s="19" t="s">
        <v>242</v>
      </c>
      <c r="E54" s="19" t="s">
        <v>69</v>
      </c>
      <c r="F54" s="19"/>
      <c r="G54" s="19"/>
    </row>
    <row r="55" spans="1:7">
      <c r="A55" s="6" t="s">
        <v>84</v>
      </c>
      <c r="B55" s="6"/>
      <c r="C55" s="6"/>
      <c r="D55" s="6"/>
      <c r="E55" s="6">
        <f>COUNTIF(E20:E54,"Y")</f>
        <v>13</v>
      </c>
      <c r="F55" s="6">
        <f>SUM(F20:F54)</f>
        <v>15</v>
      </c>
      <c r="G55" s="6"/>
    </row>
    <row r="57" spans="1:7">
      <c r="A57" s="50" t="s">
        <v>85</v>
      </c>
      <c r="B57" s="50"/>
      <c r="C57" s="50"/>
      <c r="D57" s="50"/>
      <c r="E57" s="50"/>
      <c r="F57" s="50"/>
      <c r="G57" s="50"/>
    </row>
    <row r="58" spans="1:7">
      <c r="A58" s="8" t="s">
        <v>86</v>
      </c>
      <c r="B58" s="8" t="s">
        <v>59</v>
      </c>
      <c r="C58" s="8" t="s">
        <v>51</v>
      </c>
      <c r="D58" s="8" t="s">
        <v>87</v>
      </c>
      <c r="E58" s="8" t="s">
        <v>88</v>
      </c>
      <c r="F58" s="8" t="s">
        <v>89</v>
      </c>
      <c r="G58" s="8" t="s">
        <v>10</v>
      </c>
    </row>
    <row r="59" spans="1:7">
      <c r="A59" s="2" t="s">
        <v>398</v>
      </c>
      <c r="B59" s="2" t="s">
        <v>399</v>
      </c>
      <c r="C59" s="2" t="s">
        <v>53</v>
      </c>
      <c r="D59" s="12" t="s">
        <v>96</v>
      </c>
      <c r="E59" s="2" t="s">
        <v>448</v>
      </c>
      <c r="F59" s="2">
        <v>1</v>
      </c>
      <c r="G59" s="2"/>
    </row>
    <row r="60" spans="1:7">
      <c r="A60" s="2" t="s">
        <v>400</v>
      </c>
      <c r="B60" s="2" t="s">
        <v>169</v>
      </c>
      <c r="C60" s="2" t="s">
        <v>53</v>
      </c>
      <c r="D60" s="2" t="s">
        <v>449</v>
      </c>
      <c r="E60" s="2" t="s">
        <v>450</v>
      </c>
      <c r="F60" s="2">
        <v>1</v>
      </c>
      <c r="G60" s="2"/>
    </row>
    <row r="61" spans="1:7">
      <c r="A61" s="2" t="s">
        <v>401</v>
      </c>
      <c r="B61" s="2" t="s">
        <v>402</v>
      </c>
      <c r="C61" s="2" t="s">
        <v>99</v>
      </c>
      <c r="D61" s="11" t="s">
        <v>451</v>
      </c>
      <c r="E61" s="2" t="s">
        <v>452</v>
      </c>
      <c r="F61" s="2">
        <v>1</v>
      </c>
      <c r="G61" s="2"/>
    </row>
    <row r="62" spans="1:7">
      <c r="A62" s="2" t="s">
        <v>403</v>
      </c>
      <c r="B62" s="2" t="s">
        <v>154</v>
      </c>
      <c r="C62" s="2" t="s">
        <v>53</v>
      </c>
      <c r="D62" s="11" t="s">
        <v>453</v>
      </c>
      <c r="E62" s="2" t="s">
        <v>452</v>
      </c>
      <c r="F62" s="2">
        <v>1</v>
      </c>
      <c r="G62" s="2"/>
    </row>
    <row r="63" spans="1:7">
      <c r="A63" s="2" t="s">
        <v>404</v>
      </c>
      <c r="B63" s="2" t="s">
        <v>169</v>
      </c>
      <c r="C63" s="2" t="s">
        <v>53</v>
      </c>
      <c r="D63" s="2" t="s">
        <v>454</v>
      </c>
      <c r="E63" s="2" t="s">
        <v>455</v>
      </c>
      <c r="F63" s="2">
        <v>1</v>
      </c>
      <c r="G63" s="2"/>
    </row>
    <row r="64" spans="1:7">
      <c r="A64" s="2" t="s">
        <v>405</v>
      </c>
      <c r="B64" s="2" t="s">
        <v>406</v>
      </c>
      <c r="C64" s="2" t="s">
        <v>53</v>
      </c>
      <c r="D64" s="11" t="s">
        <v>456</v>
      </c>
      <c r="E64" s="2" t="s">
        <v>455</v>
      </c>
      <c r="F64" s="2">
        <v>1</v>
      </c>
      <c r="G64" s="2"/>
    </row>
    <row r="65" spans="1:7">
      <c r="A65" s="2" t="s">
        <v>407</v>
      </c>
      <c r="B65" s="2" t="s">
        <v>169</v>
      </c>
      <c r="C65" s="2" t="s">
        <v>53</v>
      </c>
      <c r="D65" s="2" t="s">
        <v>457</v>
      </c>
      <c r="E65" s="2" t="s">
        <v>458</v>
      </c>
      <c r="F65" s="2">
        <v>1</v>
      </c>
      <c r="G65" s="2"/>
    </row>
    <row r="66" spans="1:7">
      <c r="A66" s="2" t="s">
        <v>408</v>
      </c>
      <c r="B66" s="2" t="s">
        <v>409</v>
      </c>
      <c r="C66" s="2" t="s">
        <v>99</v>
      </c>
      <c r="D66" s="11" t="s">
        <v>308</v>
      </c>
      <c r="E66" s="2" t="s">
        <v>459</v>
      </c>
      <c r="F66" s="2">
        <v>1</v>
      </c>
      <c r="G66" s="2"/>
    </row>
    <row r="67" spans="1:7">
      <c r="A67" s="2" t="s">
        <v>410</v>
      </c>
      <c r="B67" s="2" t="s">
        <v>169</v>
      </c>
      <c r="C67" s="2" t="s">
        <v>53</v>
      </c>
      <c r="D67" s="11" t="s">
        <v>460</v>
      </c>
      <c r="E67" s="2" t="s">
        <v>459</v>
      </c>
      <c r="F67" s="2">
        <v>1</v>
      </c>
      <c r="G67" s="2"/>
    </row>
    <row r="68" spans="1:7">
      <c r="A68" s="2" t="s">
        <v>411</v>
      </c>
      <c r="B68" s="2" t="s">
        <v>169</v>
      </c>
      <c r="C68" s="2" t="s">
        <v>53</v>
      </c>
      <c r="D68" s="2" t="s">
        <v>461</v>
      </c>
      <c r="E68" s="2" t="s">
        <v>462</v>
      </c>
      <c r="F68" s="2">
        <v>1</v>
      </c>
      <c r="G68" s="2"/>
    </row>
    <row r="69" spans="1:7">
      <c r="A69" s="2" t="s">
        <v>412</v>
      </c>
      <c r="B69" s="2" t="s">
        <v>413</v>
      </c>
      <c r="C69" s="2" t="s">
        <v>53</v>
      </c>
      <c r="D69" s="11" t="s">
        <v>463</v>
      </c>
      <c r="E69" s="2" t="s">
        <v>462</v>
      </c>
      <c r="F69" s="2">
        <v>1</v>
      </c>
      <c r="G69" s="2"/>
    </row>
    <row r="70" spans="1:7">
      <c r="A70" s="2" t="s">
        <v>404</v>
      </c>
      <c r="B70" s="2" t="s">
        <v>169</v>
      </c>
      <c r="C70" s="2" t="s">
        <v>53</v>
      </c>
      <c r="D70" s="2" t="s">
        <v>464</v>
      </c>
      <c r="E70" s="2" t="s">
        <v>465</v>
      </c>
      <c r="F70" s="2">
        <v>2</v>
      </c>
      <c r="G70" s="2" t="s">
        <v>274</v>
      </c>
    </row>
    <row r="71" spans="1:7">
      <c r="A71" s="2" t="s">
        <v>414</v>
      </c>
      <c r="B71" s="2" t="s">
        <v>277</v>
      </c>
      <c r="C71" s="2" t="s">
        <v>53</v>
      </c>
      <c r="D71" s="11" t="s">
        <v>466</v>
      </c>
      <c r="E71" s="2" t="s">
        <v>467</v>
      </c>
      <c r="F71" s="2">
        <v>1</v>
      </c>
      <c r="G71" s="2"/>
    </row>
    <row r="72" spans="1:7">
      <c r="A72" s="2" t="s">
        <v>410</v>
      </c>
      <c r="B72" s="2" t="s">
        <v>169</v>
      </c>
      <c r="C72" s="2" t="s">
        <v>53</v>
      </c>
      <c r="D72" s="12" t="s">
        <v>468</v>
      </c>
      <c r="E72" s="2" t="s">
        <v>469</v>
      </c>
      <c r="F72" s="2">
        <v>2</v>
      </c>
      <c r="G72" s="2" t="s">
        <v>274</v>
      </c>
    </row>
    <row r="74" spans="1:7">
      <c r="A74" s="46" t="s">
        <v>92</v>
      </c>
      <c r="B74" s="46"/>
      <c r="C74" s="6">
        <f>COUNTA(A59:A72)</f>
        <v>14</v>
      </c>
      <c r="D74" s="7"/>
      <c r="E74" s="7"/>
      <c r="F74" s="7"/>
      <c r="G74" s="7"/>
    </row>
    <row r="75" spans="1:7">
      <c r="A75" s="46" t="s">
        <v>93</v>
      </c>
      <c r="B75" s="46"/>
      <c r="C75" s="6">
        <f>COUNTIF(F59:F72,1)</f>
        <v>12</v>
      </c>
      <c r="D75" s="7"/>
      <c r="E75" s="7"/>
      <c r="F75" s="7"/>
      <c r="G75" s="7"/>
    </row>
    <row r="76" spans="1:7">
      <c r="A76" s="46" t="s">
        <v>94</v>
      </c>
      <c r="B76" s="46"/>
      <c r="C76" s="6">
        <f>C74-C75</f>
        <v>2</v>
      </c>
      <c r="D76" s="7"/>
      <c r="E76" s="7"/>
      <c r="F76" s="7"/>
      <c r="G76" s="7"/>
    </row>
    <row r="78" spans="1:7">
      <c r="A78" s="50" t="s">
        <v>95</v>
      </c>
      <c r="B78" s="50"/>
      <c r="C78" s="50"/>
      <c r="D78" s="50"/>
      <c r="E78" s="50"/>
      <c r="F78" s="50"/>
      <c r="G78" s="50"/>
    </row>
    <row r="79" spans="1:7">
      <c r="A79" s="10" t="s">
        <v>96</v>
      </c>
    </row>
    <row r="80" spans="1:7">
      <c r="A80" s="8" t="s">
        <v>59</v>
      </c>
      <c r="B80" s="8" t="s">
        <v>51</v>
      </c>
      <c r="C80" s="8" t="s">
        <v>10</v>
      </c>
      <c r="D80" s="8"/>
      <c r="E80" s="8"/>
      <c r="F80" s="8"/>
      <c r="G80" s="8"/>
    </row>
    <row r="81" spans="1:7">
      <c r="A81" s="2" t="s">
        <v>399</v>
      </c>
      <c r="B81" s="2" t="s">
        <v>53</v>
      </c>
      <c r="C81" s="2"/>
      <c r="D81" s="2"/>
      <c r="E81" s="2"/>
      <c r="F81" s="2"/>
      <c r="G81" s="2"/>
    </row>
    <row r="82" spans="1:7">
      <c r="A82" s="2" t="s">
        <v>416</v>
      </c>
      <c r="B82" s="2" t="s">
        <v>99</v>
      </c>
      <c r="C82" s="2"/>
      <c r="D82" s="2"/>
      <c r="E82" s="2"/>
      <c r="F82" s="2"/>
      <c r="G82" s="2"/>
    </row>
    <row r="83" spans="1:7">
      <c r="A83" s="2" t="s">
        <v>226</v>
      </c>
      <c r="B83" s="2" t="s">
        <v>101</v>
      </c>
      <c r="C83" s="2"/>
      <c r="D83" s="2"/>
      <c r="E83" s="2"/>
      <c r="F83" s="2"/>
      <c r="G83" s="2"/>
    </row>
    <row r="84" spans="1:7">
      <c r="A84" s="2" t="s">
        <v>419</v>
      </c>
      <c r="B84" s="2" t="s">
        <v>53</v>
      </c>
      <c r="C84" s="2"/>
      <c r="D84" s="2"/>
      <c r="E84" s="2"/>
      <c r="F84" s="2"/>
      <c r="G84" s="2"/>
    </row>
    <row r="85" spans="1:7">
      <c r="A85" s="2" t="s">
        <v>334</v>
      </c>
      <c r="B85" s="2" t="s">
        <v>53</v>
      </c>
      <c r="C85" s="2"/>
      <c r="D85" s="2"/>
      <c r="E85" s="2"/>
      <c r="F85" s="2"/>
      <c r="G85" s="2"/>
    </row>
    <row r="86" spans="1:7">
      <c r="A86" s="2" t="s">
        <v>422</v>
      </c>
      <c r="B86" s="2" t="s">
        <v>54</v>
      </c>
      <c r="C86" s="2"/>
      <c r="D86" s="2"/>
      <c r="E86" s="2"/>
      <c r="F86" s="2"/>
      <c r="G86" s="2"/>
    </row>
    <row r="87" spans="1:7">
      <c r="A87" s="2" t="s">
        <v>424</v>
      </c>
      <c r="B87" s="2" t="s">
        <v>53</v>
      </c>
      <c r="C87" s="2"/>
      <c r="D87" s="2"/>
      <c r="E87" s="2"/>
      <c r="F87" s="2"/>
      <c r="G87" s="2"/>
    </row>
    <row r="89" spans="1:7">
      <c r="A89" s="10" t="s">
        <v>179</v>
      </c>
    </row>
    <row r="90" spans="1:7">
      <c r="A90" s="8" t="s">
        <v>59</v>
      </c>
      <c r="B90" s="8" t="s">
        <v>51</v>
      </c>
      <c r="C90" s="8" t="s">
        <v>10</v>
      </c>
      <c r="D90" s="8"/>
      <c r="E90" s="8"/>
      <c r="F90" s="8"/>
      <c r="G90" s="8"/>
    </row>
    <row r="91" spans="1:7">
      <c r="A91" s="2" t="s">
        <v>169</v>
      </c>
      <c r="B91" s="2" t="s">
        <v>53</v>
      </c>
      <c r="C91" s="2"/>
      <c r="D91" s="2"/>
      <c r="E91" s="2"/>
      <c r="F91" s="2"/>
      <c r="G91" s="2"/>
    </row>
    <row r="92" spans="1:7">
      <c r="A92" s="2" t="s">
        <v>154</v>
      </c>
      <c r="B92" s="2" t="s">
        <v>53</v>
      </c>
      <c r="C92" s="2"/>
      <c r="D92" s="2"/>
      <c r="E92" s="2"/>
      <c r="F92" s="2"/>
      <c r="G92" s="2"/>
    </row>
    <row r="93" spans="1:7">
      <c r="A93" s="2" t="s">
        <v>345</v>
      </c>
      <c r="B93" s="2" t="s">
        <v>53</v>
      </c>
      <c r="C93" s="2"/>
      <c r="D93" s="2"/>
      <c r="E93" s="2"/>
      <c r="F93" s="2"/>
      <c r="G93" s="2"/>
    </row>
    <row r="94" spans="1:7">
      <c r="A94" s="2" t="s">
        <v>470</v>
      </c>
      <c r="B94" s="2" t="s">
        <v>53</v>
      </c>
      <c r="C94" s="2"/>
      <c r="D94" s="2"/>
      <c r="E94" s="2"/>
      <c r="F94" s="2"/>
      <c r="G94" s="2"/>
    </row>
    <row r="95" spans="1:7">
      <c r="A95" s="2" t="s">
        <v>277</v>
      </c>
      <c r="B95" s="2" t="s">
        <v>53</v>
      </c>
      <c r="C95" s="2"/>
      <c r="D95" s="2"/>
      <c r="E95" s="2"/>
      <c r="F95" s="2"/>
      <c r="G95" s="2"/>
    </row>
    <row r="96" spans="1:7">
      <c r="A96" s="2" t="s">
        <v>432</v>
      </c>
      <c r="B96" s="2" t="s">
        <v>53</v>
      </c>
      <c r="C96" s="2"/>
      <c r="D96" s="2"/>
      <c r="E96" s="2"/>
      <c r="F96" s="2"/>
      <c r="G96" s="2"/>
    </row>
    <row r="97" spans="1:7">
      <c r="A97" s="2" t="s">
        <v>409</v>
      </c>
      <c r="B97" s="2" t="s">
        <v>99</v>
      </c>
      <c r="C97" s="2"/>
      <c r="D97" s="2"/>
      <c r="E97" s="2"/>
      <c r="F97" s="2"/>
      <c r="G97" s="2"/>
    </row>
    <row r="98" spans="1:7">
      <c r="A98" s="2" t="s">
        <v>406</v>
      </c>
      <c r="B98" s="2" t="s">
        <v>53</v>
      </c>
      <c r="C98" s="2"/>
      <c r="D98" s="2"/>
      <c r="E98" s="2"/>
      <c r="F98" s="2"/>
      <c r="G98" s="2"/>
    </row>
    <row r="99" spans="1:7">
      <c r="A99" s="2" t="s">
        <v>436</v>
      </c>
      <c r="B99" s="2" t="s">
        <v>53</v>
      </c>
      <c r="C99" s="2"/>
      <c r="D99" s="2"/>
      <c r="E99" s="2"/>
      <c r="F99" s="2"/>
      <c r="G99" s="2"/>
    </row>
    <row r="100" spans="1:7">
      <c r="A100" s="2" t="s">
        <v>366</v>
      </c>
      <c r="B100" s="2" t="s">
        <v>53</v>
      </c>
      <c r="C100" s="2"/>
      <c r="D100" s="2"/>
      <c r="E100" s="2"/>
      <c r="F100" s="2"/>
      <c r="G100" s="2"/>
    </row>
    <row r="101" spans="1:7">
      <c r="A101" s="2" t="s">
        <v>446</v>
      </c>
      <c r="B101" s="2" t="s">
        <v>99</v>
      </c>
      <c r="C101" s="2"/>
      <c r="D101" s="2"/>
      <c r="E101" s="2"/>
      <c r="F101" s="2"/>
      <c r="G101" s="2"/>
    </row>
    <row r="102" spans="1:7">
      <c r="A102" s="2" t="s">
        <v>402</v>
      </c>
      <c r="B102" s="2" t="s">
        <v>99</v>
      </c>
      <c r="C102" s="2"/>
      <c r="D102" s="2"/>
      <c r="E102" s="2"/>
      <c r="F102" s="2"/>
      <c r="G102" s="2"/>
    </row>
    <row r="103" spans="1:7">
      <c r="A103" s="2" t="s">
        <v>471</v>
      </c>
      <c r="B103" s="2" t="s">
        <v>99</v>
      </c>
      <c r="C103" s="2"/>
      <c r="D103" s="2"/>
      <c r="E103" s="2"/>
      <c r="F103" s="2"/>
      <c r="G103" s="2"/>
    </row>
    <row r="104" spans="1:7">
      <c r="A104" s="2" t="s">
        <v>413</v>
      </c>
      <c r="B104" s="2" t="s">
        <v>53</v>
      </c>
      <c r="C104" s="2"/>
      <c r="D104" s="2"/>
      <c r="E104" s="2"/>
      <c r="F104" s="2"/>
      <c r="G104" s="2"/>
    </row>
    <row r="105" spans="1:7">
      <c r="A105" s="2" t="s">
        <v>350</v>
      </c>
      <c r="B105" s="2" t="s">
        <v>53</v>
      </c>
      <c r="C105" s="2"/>
      <c r="D105" s="2"/>
      <c r="E105" s="2"/>
      <c r="F105" s="2"/>
      <c r="G105" s="2"/>
    </row>
    <row r="107" spans="1:7">
      <c r="A107" s="6" t="s">
        <v>97</v>
      </c>
      <c r="B107" s="6">
        <v>22</v>
      </c>
      <c r="C107" s="6"/>
      <c r="D107" s="6"/>
      <c r="E107" s="6"/>
      <c r="F107" s="6"/>
      <c r="G107" s="6"/>
    </row>
    <row r="109" spans="1:7">
      <c r="A109" s="50" t="s">
        <v>472</v>
      </c>
      <c r="B109" s="51"/>
      <c r="C109" s="51"/>
      <c r="D109" s="51"/>
      <c r="E109" s="51"/>
      <c r="F109" s="51"/>
      <c r="G109" s="51"/>
    </row>
    <row r="110" spans="1:7">
      <c r="A110" s="8" t="s">
        <v>181</v>
      </c>
      <c r="B110" s="8" t="s">
        <v>86</v>
      </c>
      <c r="C110" s="8" t="s">
        <v>59</v>
      </c>
      <c r="D110" s="8" t="s">
        <v>51</v>
      </c>
      <c r="E110" s="8" t="s">
        <v>88</v>
      </c>
      <c r="F110" s="8" t="s">
        <v>182</v>
      </c>
      <c r="G110" s="8" t="s">
        <v>10</v>
      </c>
    </row>
    <row r="111" spans="1:7">
      <c r="A111" s="21" t="s">
        <v>242</v>
      </c>
      <c r="B111" s="21" t="s">
        <v>447</v>
      </c>
      <c r="C111" s="21" t="s">
        <v>226</v>
      </c>
      <c r="D111" s="30" t="s">
        <v>101</v>
      </c>
      <c r="E111" s="31">
        <v>46072</v>
      </c>
      <c r="F111" s="31" t="s">
        <v>244</v>
      </c>
      <c r="G111" s="21"/>
    </row>
    <row r="112" spans="1:7">
      <c r="A112" s="21" t="s">
        <v>242</v>
      </c>
      <c r="B112" s="21" t="s">
        <v>473</v>
      </c>
      <c r="C112" s="21" t="s">
        <v>474</v>
      </c>
      <c r="D112" s="30" t="s">
        <v>53</v>
      </c>
      <c r="E112" s="31">
        <v>46072</v>
      </c>
      <c r="F112" s="30" t="s">
        <v>328</v>
      </c>
      <c r="G112" s="21"/>
    </row>
    <row r="113" spans="1:7">
      <c r="A113" s="21" t="s">
        <v>242</v>
      </c>
      <c r="B113" s="21" t="s">
        <v>475</v>
      </c>
      <c r="C113" s="21" t="s">
        <v>154</v>
      </c>
      <c r="D113" s="30" t="s">
        <v>53</v>
      </c>
      <c r="E113" s="31">
        <v>46072</v>
      </c>
      <c r="F113" s="30" t="s">
        <v>476</v>
      </c>
      <c r="G113" s="21"/>
    </row>
    <row r="114" spans="1:7">
      <c r="A114" s="21" t="s">
        <v>242</v>
      </c>
      <c r="B114" s="21" t="s">
        <v>477</v>
      </c>
      <c r="C114" s="21" t="s">
        <v>169</v>
      </c>
      <c r="D114" s="30" t="s">
        <v>99</v>
      </c>
      <c r="E114" s="31">
        <v>46072</v>
      </c>
      <c r="F114" s="30" t="s">
        <v>243</v>
      </c>
      <c r="G114" s="21"/>
    </row>
    <row r="115" spans="1:7">
      <c r="A115" s="21" t="s">
        <v>478</v>
      </c>
      <c r="B115" s="23" t="s">
        <v>403</v>
      </c>
      <c r="C115" s="21" t="s">
        <v>154</v>
      </c>
      <c r="D115" s="30" t="s">
        <v>53</v>
      </c>
      <c r="E115" s="31">
        <v>46052</v>
      </c>
      <c r="F115" s="30" t="s">
        <v>328</v>
      </c>
      <c r="G115" s="21"/>
    </row>
    <row r="116" spans="1:7">
      <c r="A116" s="21" t="s">
        <v>395</v>
      </c>
      <c r="B116" s="21" t="s">
        <v>410</v>
      </c>
      <c r="C116" s="21" t="s">
        <v>169</v>
      </c>
      <c r="D116" s="30" t="s">
        <v>53</v>
      </c>
      <c r="E116" s="31">
        <v>46115</v>
      </c>
      <c r="F116" s="30" t="s">
        <v>91</v>
      </c>
      <c r="G116" s="21"/>
    </row>
    <row r="117" spans="1:7">
      <c r="A117" s="21"/>
      <c r="B117" s="21"/>
      <c r="C117" s="21"/>
      <c r="D117" s="30"/>
      <c r="E117" s="30"/>
      <c r="F117" s="30"/>
      <c r="G117" s="21"/>
    </row>
    <row r="118" spans="1:7">
      <c r="A118" s="21"/>
      <c r="B118" s="21"/>
      <c r="C118" s="21"/>
      <c r="D118" s="30"/>
      <c r="E118" s="30"/>
      <c r="F118" s="30"/>
      <c r="G118" s="21"/>
    </row>
    <row r="119" spans="1:7">
      <c r="A119" s="21"/>
      <c r="B119" s="21"/>
      <c r="C119" s="21"/>
      <c r="D119" s="30"/>
      <c r="E119" s="30"/>
      <c r="F119" s="30"/>
      <c r="G119" s="21"/>
    </row>
    <row r="120" spans="1:7">
      <c r="A120" s="21"/>
      <c r="B120" s="21"/>
      <c r="C120" s="21"/>
      <c r="D120" s="30"/>
      <c r="E120" s="30"/>
      <c r="F120" s="30"/>
      <c r="G120" s="21"/>
    </row>
  </sheetData>
  <autoFilter ref="A58:G58" xr:uid="{00000000-0001-0000-0800-000000000000}"/>
  <mergeCells count="9">
    <mergeCell ref="A109:G109"/>
    <mergeCell ref="A75:B75"/>
    <mergeCell ref="A76:B76"/>
    <mergeCell ref="A78:G78"/>
    <mergeCell ref="A1:G1"/>
    <mergeCell ref="A4:G4"/>
    <mergeCell ref="A18:G18"/>
    <mergeCell ref="A57:G57"/>
    <mergeCell ref="A74:B7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2026-04-21T18:13:51Z</dcterms:created>
  <dcterms:modified xsi:type="dcterms:W3CDTF">2026-05-12T08:23:25Z</dcterms:modified>
  <cp:category/>
  <cp:contentStatus/>
</cp:coreProperties>
</file>